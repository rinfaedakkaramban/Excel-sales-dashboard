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hidePivotFieldList="1"/>
  <mc:AlternateContent xmlns:mc="http://schemas.openxmlformats.org/markup-compatibility/2006">
    <mc:Choice Requires="x15">
      <x15ac:absPath xmlns:x15ac="http://schemas.microsoft.com/office/spreadsheetml/2010/11/ac" url="C:\Users\USER\Desktop\Rinfa data\"/>
    </mc:Choice>
  </mc:AlternateContent>
  <xr:revisionPtr revIDLastSave="0" documentId="8_{8BBBC94E-C854-485D-A10B-98DB43785E16}" xr6:coauthVersionLast="47" xr6:coauthVersionMax="47" xr10:uidLastSave="{00000000-0000-0000-0000-000000000000}"/>
  <bookViews>
    <workbookView xWindow="-120" yWindow="-120" windowWidth="20730" windowHeight="11160" activeTab="1" xr2:uid="{00000000-000D-0000-FFFF-FFFF00000000}"/>
  </bookViews>
  <sheets>
    <sheet name="Pivot table" sheetId="2" r:id="rId1"/>
    <sheet name="Dashboard" sheetId="3" r:id="rId2"/>
    <sheet name="Data" sheetId="1" r:id="rId3"/>
  </sheets>
  <definedNames>
    <definedName name="_xlcn.WorksheetConnection_Sheet1A1P81" hidden="1">Data!$A$1:$P$81</definedName>
    <definedName name="Slicer_Category">#N/A</definedName>
    <definedName name="Slicer_Month">#N/A</definedName>
    <definedName name="Slicer_Payment_Mode">#N/A</definedName>
    <definedName name="Slicer_Product">#N/A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P$81"/>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68"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2" i="1"/>
  <c r="B23" i="2"/>
  <c r="B19" i="2"/>
  <c r="B15" i="2"/>
  <c r="B11" i="2"/>
  <c r="B7" i="2"/>
  <c r="B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40DB42-1976-44C2-86FF-073504B9C29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5F9469-F89B-4FAB-8EF3-100761A29FB6}" name="WorksheetConnection_Sheet1!$A$1:$P$81" type="102" refreshedVersion="7" minRefreshableVersion="5">
    <extLst>
      <ext xmlns:x15="http://schemas.microsoft.com/office/spreadsheetml/2010/11/main" uri="{DE250136-89BD-433C-8126-D09CA5730AF9}">
        <x15:connection id="Range" autoDelete="1">
          <x15:rangePr sourceName="_xlcn.WorksheetConnection_Sheet1A1P81"/>
        </x15:connection>
      </ext>
    </extLst>
  </connection>
</connections>
</file>

<file path=xl/sharedStrings.xml><?xml version="1.0" encoding="utf-8"?>
<sst xmlns="http://schemas.openxmlformats.org/spreadsheetml/2006/main" count="586" uniqueCount="213">
  <si>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</si>
  <si>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</si>
  <si>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</si>
  <si>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</si>
  <si>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</si>
  <si>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</si>
  <si>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</si>
  <si>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</si>
  <si>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</si>
  <si>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</si>
  <si>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</si>
  <si>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</si>
  <si>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</si>
  <si>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</si>
  <si>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</si>
  <si>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</si>
  <si>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</si>
  <si>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</si>
  <si>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</si>
  <si>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</si>
  <si>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</si>
  <si>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</si>
  <si>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</si>
  <si>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</si>
  <si>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</si>
  <si>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</si>
  <si>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</si>
  <si>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</si>
  <si>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</si>
  <si>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</si>
  <si>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</si>
  <si>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</si>
  <si>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</si>
  <si>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</si>
  <si>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</si>
  <si>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</si>
  <si>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</si>
  <si>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</si>
  <si>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</si>
  <si>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</si>
  <si>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</si>
  <si>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</si>
  <si>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</si>
  <si>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</si>
  <si>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</si>
  <si>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</si>
  <si>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</si>
  <si>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</si>
  <si>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</si>
  <si>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</si>
  <si>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</si>
  <si>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</si>
  <si>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</si>
  <si>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</si>
  <si>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</si>
  <si>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</si>
  <si>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</si>
  <si>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</si>
  <si>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</si>
  <si>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</si>
  <si>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</si>
  <si>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</si>
  <si>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</si>
  <si>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</si>
  <si>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</si>
  <si>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</si>
  <si>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</si>
  <si>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</si>
  <si>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</si>
  <si>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</si>
  <si>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</si>
  <si>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</si>
  <si>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</si>
  <si>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</si>
  <si>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</si>
  <si>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</si>
  <si>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</si>
  <si>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</si>
  <si>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</si>
  <si>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</si>
  <si>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</si>
  <si>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</si>
  <si>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</si>
  <si>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</si>
  <si>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</si>
  <si>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</si>
  <si>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</si>
  <si>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</si>
  <si>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</si>
  <si>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</si>
  <si>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</si>
  <si>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</si>
  <si>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</si>
  <si>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</si>
  <si>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</si>
  <si>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</si>
  <si>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</si>
  <si>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</si>
  <si>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</si>
  <si>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</si>
  <si>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</si>
  <si>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</si>
  <si>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</si>
  <si>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</si>
  <si>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</si>
  <si>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</si>
  <si>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</si>
  <si>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</si>
  <si>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</si>
  <si>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</si>
  <si>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</si>
  <si>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</si>
  <si>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</si>
  <si>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</si>
  <si>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</si>
  <si>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</si>
  <si>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</si>
  <si>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</si>
  <si>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</si>
  <si>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</si>
  <si>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</si>
  <si>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</si>
  <si>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</si>
  <si>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</si>
  <si>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</si>
  <si>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</si>
  <si>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</si>
  <si>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</si>
  <si>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</si>
  <si>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</si>
  <si>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</si>
  <si>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</si>
  <si>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</si>
  <si>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</si>
  <si>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</si>
  <si>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</si>
  <si>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</si>
  <si>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</si>
  <si>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</si>
  <si>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</si>
  <si>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</si>
  <si>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</si>
  <si>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</si>
  <si>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</si>
  <si>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</si>
  <si>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</si>
  <si>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</si>
  <si>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</si>
  <si>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</si>
  <si>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</si>
  <si>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</si>
  <si>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</si>
  <si>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</si>
  <si>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</si>
  <si>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</si>
  <si>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</si>
  <si>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</si>
  <si>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</si>
  <si>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</si>
  <si>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</si>
  <si>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</si>
  <si>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</si>
  <si>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</si>
  <si>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</si>
  <si>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</si>
  <si>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</si>
  <si>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</si>
  <si>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</si>
  <si>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</si>
  <si>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</si>
  <si>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</si>
  <si>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</si>
  <si>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</si>
  <si>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</si>
  <si>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</si>
  <si>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</si>
  <si>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</si>
  <si>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</si>
  <si>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</si>
  <si>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</si>
  <si>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</si>
  <si>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</si>
  <si>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</si>
  <si>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</si>
  <si>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</si>
  <si>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</si>
  <si>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Card</t>
  </si>
  <si>
    <t xml:space="preserve">Card </t>
  </si>
  <si>
    <t>C1016</t>
  </si>
  <si>
    <t>Month</t>
  </si>
  <si>
    <t>Month_No</t>
  </si>
  <si>
    <t>Profit_margin_%</t>
  </si>
  <si>
    <t>Unknown</t>
  </si>
  <si>
    <t>Sum of Sales</t>
  </si>
  <si>
    <t>Sum of Cost</t>
  </si>
  <si>
    <t>Sum of Profit</t>
  </si>
  <si>
    <t>Sum of Profit_margin_%</t>
  </si>
  <si>
    <t>Count of Order_ID</t>
  </si>
  <si>
    <t>Sum of Quantity</t>
  </si>
  <si>
    <t>Row Labels</t>
  </si>
  <si>
    <t>Grand Total</t>
  </si>
  <si>
    <t>Jan</t>
  </si>
  <si>
    <t>Feb</t>
  </si>
  <si>
    <t>Mar</t>
  </si>
  <si>
    <t>Apr</t>
  </si>
  <si>
    <t>May</t>
  </si>
  <si>
    <t>Jun</t>
  </si>
  <si>
    <t>Total sales</t>
  </si>
  <si>
    <t>Total cost</t>
  </si>
  <si>
    <t>Total profit</t>
  </si>
  <si>
    <t>Profit margin %</t>
  </si>
  <si>
    <t>Total orders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</si>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</sst>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9" fontId="1" fillId="0" borderId="2" xfId="0" applyNumberFormat="1" applyFont="1" applyBorder="1" applyAlignment="1">
      <alignment horizontal="center" vertical="top"/>
    </xf>
    <xf numFmtId="9"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6">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[Excel_Sales_Dashboard_Simple_Raw_Dataset.xlsx]Pivot table!PivotTable12</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Sales by month</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5"/>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5"/>
            </a:solidFill>
            <a:round/>
          </a:ln>
          <a:effectLst/>
        </c:spPr>
        <c:marker>
          <c:symbol val="circle"/>
          <c:size val="8"/>
          <c:spPr>
            <a:solidFill>
              <a:schemeClr val="accent5"/>
            </a:solidFill>
            <a:ln>
              <a:noFill/>
            </a:ln>
            <a:effectLst/>
          </c:spPr>
        </c:marker>
        <c:dLbl>
          <c:idx val="0"/>
          <c:layout>
            <c:manualLayout>
              <c:x val="-8.4360526669105929E-2"/>
              <c:y val="5.4982788114409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5"/>
            </a:solidFill>
            <a:round/>
          </a:ln>
          <a:effectLst/>
        </c:spPr>
        <c:marker>
          <c:symbol val="circle"/>
          <c:size val="8"/>
          <c:spPr>
            <a:solidFill>
              <a:schemeClr val="accent5"/>
            </a:solidFill>
            <a:ln>
              <a:noFill/>
            </a:ln>
            <a:effectLst/>
          </c:spPr>
        </c:marker>
        <c:dLbl>
          <c:idx val="0"/>
          <c:layout>
            <c:manualLayout>
              <c:x val="-8.4360526669105956E-2"/>
              <c:y val="-7.5601333657313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5"/>
            </a:solidFill>
            <a:round/>
          </a:ln>
          <a:effectLst/>
        </c:spPr>
        <c:marker>
          <c:symbol val="circle"/>
          <c:size val="8"/>
          <c:spPr>
            <a:solidFill>
              <a:schemeClr val="accent5"/>
            </a:solidFill>
            <a:ln>
              <a:noFill/>
            </a:ln>
            <a:effectLst/>
          </c:spPr>
        </c:marker>
        <c:dLbl>
          <c:idx val="0"/>
          <c:layout>
            <c:manualLayout>
              <c:x val="-7.7852492064809778E-2"/>
              <c:y val="8.247418217161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5"/>
            </a:solidFill>
            <a:round/>
          </a:ln>
          <a:effectLst/>
        </c:spPr>
        <c:marker>
          <c:symbol val="circle"/>
          <c:size val="8"/>
          <c:spPr>
            <a:solidFill>
              <a:schemeClr val="accent5"/>
            </a:solidFill>
            <a:ln>
              <a:noFill/>
            </a:ln>
            <a:effectLst/>
          </c:spPr>
        </c:marker>
        <c:dLbl>
          <c:idx val="0"/>
          <c:layout>
            <c:manualLayout>
              <c:x val="-8.4360526669105901E-2"/>
              <c:y val="-8.247418217161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chemeClr val="accent5"/>
            </a:solidFill>
            <a:round/>
          </a:ln>
          <a:effectLst/>
        </c:spPr>
        <c:marker>
          <c:symbol val="circle"/>
          <c:size val="8"/>
          <c:spPr>
            <a:solidFill>
              <a:schemeClr val="accent5"/>
            </a:solidFill>
            <a:ln>
              <a:noFill/>
            </a:ln>
            <a:effectLst/>
          </c:spPr>
        </c:marker>
        <c:dLbl>
          <c:idx val="0"/>
          <c:layout>
            <c:manualLayout>
              <c:x val="-7.7852492064809889E-2"/>
              <c:y val="7.560133365731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chemeClr val="accent5"/>
            </a:solidFill>
            <a:round/>
          </a:ln>
          <a:effectLst/>
        </c:spPr>
        <c:marker>
          <c:symbol val="circle"/>
          <c:size val="8"/>
          <c:spPr>
            <a:solidFill>
              <a:schemeClr val="accent5"/>
            </a:solidFill>
            <a:ln>
              <a:noFill/>
            </a:ln>
            <a:effectLst/>
          </c:spPr>
        </c:marker>
        <c:dLbl>
          <c:idx val="0"/>
          <c:layout>
            <c:manualLayout>
              <c:x val="-7.1895846849035121E-3"/>
              <c:y val="-8.9347030685915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88185654008432E-3"/>
          <c:y val="0.24116825436682937"/>
          <c:w val="0.90717299578059074"/>
          <c:h val="0.58564786879461606"/>
        </c:manualLayout>
      </c:layout>
      <c:lineChart>
        <c:grouping val="standard"/>
        <c:varyColors val="0"/>
        <c:ser>
          <c:idx val="0"/>
          <c:order val="0"/>
          <c:tx>
            <c:strRef>
              <c:f>'Pivot table'!$J$3</c:f>
              <c:strCache>
                <c:ptCount val="1"/>
                <c:pt idx="0">
                  <c:v>Total</c:v>
                </c:pt>
              </c:strCache>
            </c:strRef>
          </c:tx>
          <c:spPr>
            <a:ln w="38100" cap="rnd">
              <a:solidFill>
                <a:schemeClr val="accent5"/>
              </a:solidFill>
              <a:round/>
            </a:ln>
            <a:effectLst/>
          </c:spPr>
          <c:marker>
            <c:symbol val="circle"/>
            <c:size val="8"/>
            <c:spPr>
              <a:solidFill>
                <a:schemeClr val="accent5"/>
              </a:solidFill>
              <a:ln>
                <a:noFill/>
              </a:ln>
              <a:effectLst/>
            </c:spPr>
          </c:marker>
          <c:dPt>
            <c:idx val="0"/>
            <c:marker>
              <c:symbol val="circle"/>
              <c:size val="8"/>
              <c:spPr>
                <a:solidFill>
                  <a:schemeClr val="accent5"/>
                </a:solidFill>
                <a:ln>
                  <a:noFill/>
                </a:ln>
                <a:effectLst/>
              </c:spPr>
            </c:marker>
            <c:bubble3D val="0"/>
            <c:extLst>
              <c:ext xmlns:c16="http://schemas.microsoft.com/office/drawing/2014/chart" uri="{C3380CC4-5D6E-409C-BE32-E72D297353CC}">
                <c16:uniqueId val="{00000000-7B30-4F1E-B5E2-EF4596360D5C}"/>
              </c:ext>
            </c:extLst>
          </c:dPt>
          <c:dPt>
            <c:idx val="1"/>
            <c:marker>
              <c:symbol val="circle"/>
              <c:size val="8"/>
              <c:spPr>
                <a:solidFill>
                  <a:schemeClr val="accent5"/>
                </a:solidFill>
                <a:ln>
                  <a:noFill/>
                </a:ln>
                <a:effectLst/>
              </c:spPr>
            </c:marker>
            <c:bubble3D val="0"/>
            <c:extLst>
              <c:ext xmlns:c16="http://schemas.microsoft.com/office/drawing/2014/chart" uri="{C3380CC4-5D6E-409C-BE32-E72D297353CC}">
                <c16:uniqueId val="{00000001-7B30-4F1E-B5E2-EF4596360D5C}"/>
              </c:ext>
            </c:extLst>
          </c:dPt>
          <c:dPt>
            <c:idx val="2"/>
            <c:marker>
              <c:symbol val="circle"/>
              <c:size val="8"/>
              <c:spPr>
                <a:solidFill>
                  <a:schemeClr val="accent5"/>
                </a:solidFill>
                <a:ln>
                  <a:noFill/>
                </a:ln>
                <a:effectLst/>
              </c:spPr>
            </c:marker>
            <c:bubble3D val="0"/>
            <c:extLst>
              <c:ext xmlns:c16="http://schemas.microsoft.com/office/drawing/2014/chart" uri="{C3380CC4-5D6E-409C-BE32-E72D297353CC}">
                <c16:uniqueId val="{00000002-7B30-4F1E-B5E2-EF4596360D5C}"/>
              </c:ext>
            </c:extLst>
          </c:dPt>
          <c:dPt>
            <c:idx val="3"/>
            <c:marker>
              <c:symbol val="circle"/>
              <c:size val="8"/>
              <c:spPr>
                <a:solidFill>
                  <a:schemeClr val="accent5"/>
                </a:solidFill>
                <a:ln>
                  <a:noFill/>
                </a:ln>
                <a:effectLst/>
              </c:spPr>
            </c:marker>
            <c:bubble3D val="0"/>
            <c:extLst>
              <c:ext xmlns:c16="http://schemas.microsoft.com/office/drawing/2014/chart" uri="{C3380CC4-5D6E-409C-BE32-E72D297353CC}">
                <c16:uniqueId val="{00000003-7B30-4F1E-B5E2-EF4596360D5C}"/>
              </c:ext>
            </c:extLst>
          </c:dPt>
          <c:dPt>
            <c:idx val="4"/>
            <c:marker>
              <c:symbol val="circle"/>
              <c:size val="8"/>
              <c:spPr>
                <a:solidFill>
                  <a:schemeClr val="accent5"/>
                </a:solidFill>
                <a:ln>
                  <a:noFill/>
                </a:ln>
                <a:effectLst/>
              </c:spPr>
            </c:marker>
            <c:bubble3D val="0"/>
            <c:extLst>
              <c:ext xmlns:c16="http://schemas.microsoft.com/office/drawing/2014/chart" uri="{C3380CC4-5D6E-409C-BE32-E72D297353CC}">
                <c16:uniqueId val="{00000004-7B30-4F1E-B5E2-EF4596360D5C}"/>
              </c:ext>
            </c:extLst>
          </c:dPt>
          <c:dPt>
            <c:idx val="5"/>
            <c:marker>
              <c:symbol val="circle"/>
              <c:size val="8"/>
              <c:spPr>
                <a:solidFill>
                  <a:schemeClr val="accent5"/>
                </a:solidFill>
                <a:ln>
                  <a:noFill/>
                </a:ln>
                <a:effectLst/>
              </c:spPr>
            </c:marker>
            <c:bubble3D val="0"/>
            <c:extLst>
              <c:ext xmlns:c16="http://schemas.microsoft.com/office/drawing/2014/chart" uri="{C3380CC4-5D6E-409C-BE32-E72D297353CC}">
                <c16:uniqueId val="{00000005-7B30-4F1E-B5E2-EF4596360D5C}"/>
              </c:ext>
            </c:extLst>
          </c:dPt>
          <c:dLbls>
            <c:dLbl>
              <c:idx val="0"/>
              <c:layout>
                <c:manualLayout>
                  <c:x val="-8.4360526669105929E-2"/>
                  <c:y val="5.49827881144095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30-4F1E-B5E2-EF4596360D5C}"/>
                </c:ext>
              </c:extLst>
            </c:dLbl>
            <c:dLbl>
              <c:idx val="1"/>
              <c:layout>
                <c:manualLayout>
                  <c:x val="-8.4360526669105956E-2"/>
                  <c:y val="-7.5601333657313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30-4F1E-B5E2-EF4596360D5C}"/>
                </c:ext>
              </c:extLst>
            </c:dLbl>
            <c:dLbl>
              <c:idx val="2"/>
              <c:layout>
                <c:manualLayout>
                  <c:x val="-7.7852492064809778E-2"/>
                  <c:y val="8.247418217161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30-4F1E-B5E2-EF4596360D5C}"/>
                </c:ext>
              </c:extLst>
            </c:dLbl>
            <c:dLbl>
              <c:idx val="3"/>
              <c:layout>
                <c:manualLayout>
                  <c:x val="-8.4360526669105901E-2"/>
                  <c:y val="-8.247418217161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30-4F1E-B5E2-EF4596360D5C}"/>
                </c:ext>
              </c:extLst>
            </c:dLbl>
            <c:dLbl>
              <c:idx val="4"/>
              <c:layout>
                <c:manualLayout>
                  <c:x val="-7.7852492064809889E-2"/>
                  <c:y val="7.560133365731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30-4F1E-B5E2-EF4596360D5C}"/>
                </c:ext>
              </c:extLst>
            </c:dLbl>
            <c:dLbl>
              <c:idx val="5"/>
              <c:layout>
                <c:manualLayout>
                  <c:x val="-7.1895846849035121E-3"/>
                  <c:y val="-8.9347030685915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30-4F1E-B5E2-EF4596360D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table'!$I$4:$I$10</c:f>
              <c:strCache>
                <c:ptCount val="6"/>
                <c:pt idx="0">
                  <c:v>Jan</c:v>
                </c:pt>
                <c:pt idx="1">
                  <c:v>Feb</c:v>
                </c:pt>
                <c:pt idx="2">
                  <c:v>Mar</c:v>
                </c:pt>
                <c:pt idx="3">
                  <c:v>Apr</c:v>
                </c:pt>
                <c:pt idx="4">
                  <c:v>May</c:v>
                </c:pt>
                <c:pt idx="5">
                  <c:v>Jun</c:v>
                </c:pt>
              </c:strCache>
            </c:strRef>
          </c:cat>
          <c:val>
            <c:numRef>
              <c:f>'Pivot table'!$J$4:$J$10</c:f>
              <c:numCache>
                <c:formatCode>#,##0</c:formatCode>
                <c:ptCount val="6"/>
                <c:pt idx="0">
                  <c:v>177447.65</c:v>
                </c:pt>
                <c:pt idx="1">
                  <c:v>662610.15</c:v>
                </c:pt>
                <c:pt idx="2">
                  <c:v>411976.65</c:v>
                </c:pt>
                <c:pt idx="3">
                  <c:v>496053.4</c:v>
                </c:pt>
                <c:pt idx="4">
                  <c:v>265665.5</c:v>
                </c:pt>
                <c:pt idx="5">
                  <c:v>615611.19999999995</c:v>
                </c:pt>
              </c:numCache>
            </c:numRef>
          </c:val>
          <c:smooth val="0"/>
          <c:extLst>
            <c:ext xmlns:c16="http://schemas.microsoft.com/office/drawing/2014/chart" uri="{C3380CC4-5D6E-409C-BE32-E72D297353CC}">
              <c16:uniqueId val="{00000008-5DAB-4CFC-9FBC-A0E02E4F7668}"/>
            </c:ext>
          </c:extLst>
        </c:ser>
        <c:dLbls>
          <c:dLblPos val="ctr"/>
          <c:showLegendKey val="0"/>
          <c:showVal val="1"/>
          <c:showCatName val="0"/>
          <c:showSerName val="0"/>
          <c:showPercent val="0"/>
          <c:showBubbleSize val="0"/>
        </c:dLbls>
        <c:marker val="1"/>
        <c:smooth val="0"/>
        <c:axId val="585130015"/>
        <c:axId val="585120863"/>
      </c:lineChart>
      <c:catAx>
        <c:axId val="5851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85120863"/>
        <c:crosses val="autoZero"/>
        <c:auto val="1"/>
        <c:lblAlgn val="ctr"/>
        <c:lblOffset val="100"/>
        <c:noMultiLvlLbl val="0"/>
      </c:catAx>
      <c:valAx>
        <c:axId val="585120863"/>
        <c:scaling>
          <c:orientation val="minMax"/>
        </c:scaling>
        <c:delete val="1"/>
        <c:axPos val="l"/>
        <c:numFmt formatCode="#,##0" sourceLinked="1"/>
        <c:majorTickMark val="none"/>
        <c:minorTickMark val="none"/>
        <c:tickLblPos val="nextTo"/>
        <c:crossAx val="58513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[Excel_Sales_Dashboard_Simple_Raw_Dataset.xlsx]Pivot table!PivotTable13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table'!$M$4:$M$10</c:f>
              <c:strCache>
                <c:ptCount val="6"/>
                <c:pt idx="0">
                  <c:v>Jan</c:v>
                </c:pt>
                <c:pt idx="1">
                  <c:v>Feb</c:v>
                </c:pt>
                <c:pt idx="2">
                  <c:v>Mar</c:v>
                </c:pt>
                <c:pt idx="3">
                  <c:v>Apr</c:v>
                </c:pt>
                <c:pt idx="4">
                  <c:v>May</c:v>
                </c:pt>
                <c:pt idx="5">
                  <c:v>Jun</c:v>
                </c:pt>
              </c:strCache>
            </c:strRef>
          </c:cat>
          <c:val>
            <c:numRef>
              <c:f>'Pivot table'!$N$4:$N$10</c:f>
              <c:numCache>
                <c:formatCode>#,##0</c:formatCode>
                <c:ptCount val="6"/>
                <c:pt idx="0">
                  <c:v>54666.28</c:v>
                </c:pt>
                <c:pt idx="1">
                  <c:v>213652.36</c:v>
                </c:pt>
                <c:pt idx="2">
                  <c:v>129291.87</c:v>
                </c:pt>
                <c:pt idx="3">
                  <c:v>141481.59</c:v>
                </c:pt>
                <c:pt idx="4">
                  <c:v>72112.22</c:v>
                </c:pt>
                <c:pt idx="5">
                  <c:v>168799.2</c:v>
                </c:pt>
              </c:numCache>
            </c:numRef>
          </c:val>
          <c:extLst>
            <c:ext xmlns:c16="http://schemas.microsoft.com/office/drawing/2014/chart" uri="{C3380CC4-5D6E-409C-BE32-E72D297353CC}">
              <c16:uniqueId val="{00000002-6B13-4CDC-B6D2-349D7F9856B5}"/>
            </c:ext>
          </c:extLst>
        </c:ser>
        <c:dLbls>
          <c:dLblPos val="outEnd"/>
          <c:showLegendKey val="0"/>
          <c:showVal val="1"/>
          <c:showCatName val="0"/>
          <c:showSerName val="0"/>
          <c:showPercent val="0"/>
          <c:showBubbleSize val="0"/>
        </c:dLbls>
        <c:gapWidth val="100"/>
        <c:overlap val="-24"/>
        <c:axId val="1105597775"/>
        <c:axId val="1105599855"/>
      </c:barChart>
      <c:catAx>
        <c:axId val="11055977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599855"/>
        <c:crosses val="autoZero"/>
        <c:auto val="1"/>
        <c:lblAlgn val="ctr"/>
        <c:lblOffset val="100"/>
        <c:noMultiLvlLbl val="0"/>
      </c:catAx>
      <c:valAx>
        <c:axId val="1105599855"/>
        <c:scaling>
          <c:orientation val="minMax"/>
        </c:scaling>
        <c:delete val="1"/>
        <c:axPos val="l"/>
        <c:numFmt formatCode="#,##0" sourceLinked="1"/>
        <c:majorTickMark val="none"/>
        <c:minorTickMark val="none"/>
        <c:tickLblPos val="nextTo"/>
        <c:crossAx val="110559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[Excel_Sales_Dashboard_Simple_Raw_Dataset.xlsx]Pivot table!PivotTable14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0683403068340331E-2"/>
              <c:y val="7.5709754105581659E-2"/>
            </c:manualLayout>
          </c:layout>
          <c:showLegendKey val="0"/>
          <c:showVal val="1"/>
          <c:showCatName val="0"/>
          <c:showSerName val="0"/>
          <c:showPercent val="0"/>
          <c:showBubbleSize val="0"/>
          <c:extLst>
            <c:ext xmlns:c15="http://schemas.microsoft.com/office/drawing/2012/chart" uri="{CE6537A1-D6FC-4f65-9D91-7224C49458BB}">
              <c15:layout>
                <c:manualLayout>
                  <c:w val="0.29171548117154811"/>
                  <c:h val="0.21005250666848599"/>
                </c:manualLayout>
              </c15:layout>
            </c:ext>
          </c:extLst>
        </c:dLbl>
      </c:pivotFmt>
      <c:pivotFmt>
        <c:idx val="2"/>
        <c:dLbl>
          <c:idx val="0"/>
          <c:layout>
            <c:manualLayout>
              <c:x val="7.53138075313807E-2"/>
              <c:y val="-0.10094633880744225"/>
            </c:manualLayout>
          </c:layout>
          <c:showLegendKey val="0"/>
          <c:showVal val="1"/>
          <c:showCatName val="0"/>
          <c:showSerName val="0"/>
          <c:showPercent val="0"/>
          <c:showBubbleSize val="0"/>
          <c:extLst>
            <c:ext xmlns:c15="http://schemas.microsoft.com/office/drawing/2012/chart" uri="{CE6537A1-D6FC-4f65-9D91-7224C49458BB}">
              <c15:layout>
                <c:manualLayout>
                  <c:w val="0.26940027894002788"/>
                  <c:h val="0.21005250666848599"/>
                </c:manualLayout>
              </c15:layout>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53138075313807E-2"/>
              <c:y val="-0.10094633880744225"/>
            </c:manualLayout>
          </c:layout>
          <c:showLegendKey val="0"/>
          <c:showVal val="1"/>
          <c:showCatName val="0"/>
          <c:showSerName val="0"/>
          <c:showPercent val="0"/>
          <c:showBubbleSize val="0"/>
          <c:extLst>
            <c:ext xmlns:c15="http://schemas.microsoft.com/office/drawing/2012/chart" uri="{CE6537A1-D6FC-4f65-9D91-7224C49458BB}">
              <c15:layout>
                <c:manualLayout>
                  <c:w val="0.26940027894002788"/>
                  <c:h val="0.21005250666848599"/>
                </c:manualLayout>
              </c15:layout>
            </c:ext>
          </c:extLst>
        </c:dLbl>
      </c:pivotFmt>
      <c:pivotFmt>
        <c:idx val="5"/>
        <c:dLbl>
          <c:idx val="0"/>
          <c:layout>
            <c:manualLayout>
              <c:x val="-3.0683403068340331E-2"/>
              <c:y val="7.5709754105581659E-2"/>
            </c:manualLayout>
          </c:layout>
          <c:showLegendKey val="0"/>
          <c:showVal val="1"/>
          <c:showCatName val="0"/>
          <c:showSerName val="0"/>
          <c:showPercent val="0"/>
          <c:showBubbleSize val="0"/>
          <c:extLst>
            <c:ext xmlns:c15="http://schemas.microsoft.com/office/drawing/2012/chart" uri="{CE6537A1-D6FC-4f65-9D91-7224C49458BB}">
              <c15:layout>
                <c:manualLayout>
                  <c:w val="0.29171548117154811"/>
                  <c:h val="0.21005250666848599"/>
                </c:manualLayout>
              </c15:layout>
            </c:ext>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1580434437140514"/>
          <c:y val="0.20150207486193888"/>
          <c:w val="0.42191001764987746"/>
          <c:h val="0.74707654975362181"/>
        </c:manualLayout>
      </c:layout>
      <c:doughnutChart>
        <c:varyColors val="1"/>
        <c:ser>
          <c:idx val="0"/>
          <c:order val="0"/>
          <c:tx>
            <c:strRef>
              <c:f>'Pivot table'!$Q$3</c:f>
              <c:strCache>
                <c:ptCount val="1"/>
                <c:pt idx="0">
                  <c:v>Total</c:v>
                </c:pt>
              </c:strCache>
            </c:strRef>
          </c:tx>
          <c:dPt>
            <c:idx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C14-423E-B723-2339EC874AA8}"/>
              </c:ext>
            </c:extLst>
          </c:dPt>
          <c:dPt>
            <c:idx val="1"/>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C14-423E-B723-2339EC874A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table'!$P$4:$P$6</c:f>
              <c:strCache>
                <c:ptCount val="2"/>
                <c:pt idx="0">
                  <c:v>Accessories</c:v>
                </c:pt>
                <c:pt idx="1">
                  <c:v>Electronics</c:v>
                </c:pt>
              </c:strCache>
            </c:strRef>
          </c:cat>
          <c:val>
            <c:numRef>
              <c:f>'Pivot table'!$Q$4:$Q$6</c:f>
              <c:numCache>
                <c:formatCode>#,##0</c:formatCode>
                <c:ptCount val="2"/>
                <c:pt idx="0">
                  <c:v>237219.5</c:v>
                </c:pt>
                <c:pt idx="1">
                  <c:v>2392145.0499999998</c:v>
                </c:pt>
              </c:numCache>
            </c:numRef>
          </c:val>
          <c:extLst>
            <c:ext xmlns:c16="http://schemas.microsoft.com/office/drawing/2014/chart" uri="{C3380CC4-5D6E-409C-BE32-E72D297353CC}">
              <c16:uniqueId val="{00000006-C097-41D6-9869-B143D87266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387844122760002"/>
          <c:y val="0.46718390653946629"/>
          <c:w val="0.22117409268043564"/>
          <c:h val="0.22930099861925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[Excel_Sales_Dashboard_Simple_Raw_Dataset.xlsx]Pivot table!PivotTable15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60673881282079E-2"/>
          <c:y val="0.19581430366893438"/>
          <c:w val="0.86235574001525672"/>
          <c:h val="0.66433256233959637"/>
        </c:manualLayout>
      </c:layout>
      <c:barChart>
        <c:barDir val="col"/>
        <c:grouping val="clustered"/>
        <c:varyColors val="0"/>
        <c:ser>
          <c:idx val="0"/>
          <c:order val="0"/>
          <c:tx>
            <c:strRef>
              <c:f>'Pivot table'!$U$3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table'!$T$4:$T$9</c:f>
              <c:strCache>
                <c:ptCount val="5"/>
                <c:pt idx="0">
                  <c:v>West</c:v>
                </c:pt>
                <c:pt idx="1">
                  <c:v>South</c:v>
                </c:pt>
                <c:pt idx="2">
                  <c:v>East</c:v>
                </c:pt>
                <c:pt idx="3">
                  <c:v>North</c:v>
                </c:pt>
                <c:pt idx="4">
                  <c:v>Unknown</c:v>
                </c:pt>
              </c:strCache>
            </c:strRef>
          </c:cat>
          <c:val>
            <c:numRef>
              <c:f>'Pivot table'!$U$4:$U$9</c:f>
              <c:numCache>
                <c:formatCode>#,##0</c:formatCode>
                <c:ptCount val="5"/>
                <c:pt idx="0">
                  <c:v>222648.75</c:v>
                </c:pt>
                <c:pt idx="1">
                  <c:v>198690.16</c:v>
                </c:pt>
                <c:pt idx="2">
                  <c:v>195442.48</c:v>
                </c:pt>
                <c:pt idx="3">
                  <c:v>162816.98000000001</c:v>
                </c:pt>
                <c:pt idx="4">
                  <c:v>405.15</c:v>
                </c:pt>
              </c:numCache>
            </c:numRef>
          </c:val>
          <c:extLst>
            <c:ext xmlns:c16="http://schemas.microsoft.com/office/drawing/2014/chart" uri="{C3380CC4-5D6E-409C-BE32-E72D297353CC}">
              <c16:uniqueId val="{00000002-43EF-4D41-9DF5-57C103C56508}"/>
            </c:ext>
          </c:extLst>
        </c:ser>
        <c:dLbls>
          <c:showLegendKey val="0"/>
          <c:showVal val="0"/>
          <c:showCatName val="0"/>
          <c:showSerName val="0"/>
          <c:showPercent val="0"/>
          <c:showBubbleSize val="0"/>
        </c:dLbls>
        <c:gapWidth val="182"/>
        <c:axId val="1105569071"/>
        <c:axId val="1105580303"/>
      </c:barChart>
      <c:catAx>
        <c:axId val="1105569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580303"/>
        <c:crosses val="autoZero"/>
        <c:auto val="1"/>
        <c:lblAlgn val="ctr"/>
        <c:lblOffset val="100"/>
        <c:noMultiLvlLbl val="0"/>
      </c:catAx>
      <c:valAx>
        <c:axId val="1105580303"/>
        <c:scaling>
          <c:orientation val="minMax"/>
        </c:scaling>
        <c:delete val="1"/>
        <c:axPos val="l"/>
        <c:numFmt formatCode="#,##0" sourceLinked="1"/>
        <c:majorTickMark val="none"/>
        <c:minorTickMark val="none"/>
        <c:tickLblPos val="nextTo"/>
        <c:crossAx val="110556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[Excel_Sales_Dashboard_Simple_Raw_Dataset.xlsx]Pivot table!PivotTable16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70370262359211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3.70370262359211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70370262359211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0.21684353502763895"/>
          <c:y val="0.19682529842504765"/>
          <c:w val="0.39168348685938603"/>
          <c:h val="0.73207462463460837"/>
        </c:manualLayout>
      </c:layout>
      <c:doughnutChart>
        <c:varyColors val="1"/>
        <c:ser>
          <c:idx val="0"/>
          <c:order val="0"/>
          <c:tx>
            <c:strRef>
              <c:f>'Pivot table'!$Y$3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C70-4597-89E0-76F217DE1F8B}"/>
              </c:ext>
            </c:extLst>
          </c:dPt>
          <c:dPt>
            <c:idx val="1"/>
            <c:bubble3D val="0"/>
            <c:spPr>
              <a:solidFill>
                <a:schemeClr val="accent2"/>
              </a:solidFill>
              <a:ln>
                <a:noFill/>
              </a:ln>
              <a:effectLst/>
            </c:spPr>
            <c:extLst>
              <c:ext xmlns:c16="http://schemas.microsoft.com/office/drawing/2014/chart" uri="{C3380CC4-5D6E-409C-BE32-E72D297353CC}">
                <c16:uniqueId val="{00000003-3C70-4597-89E0-76F217DE1F8B}"/>
              </c:ext>
            </c:extLst>
          </c:dPt>
          <c:dPt>
            <c:idx val="2"/>
            <c:bubble3D val="0"/>
            <c:spPr>
              <a:solidFill>
                <a:schemeClr val="accent3"/>
              </a:solidFill>
              <a:ln>
                <a:noFill/>
              </a:ln>
              <a:effectLst/>
            </c:spPr>
            <c:extLst>
              <c:ext xmlns:c16="http://schemas.microsoft.com/office/drawing/2014/chart" uri="{C3380CC4-5D6E-409C-BE32-E72D297353CC}">
                <c16:uniqueId val="{00000005-3C70-4597-89E0-76F217DE1F8B}"/>
              </c:ext>
            </c:extLst>
          </c:dPt>
          <c:dPt>
            <c:idx val="3"/>
            <c:bubble3D val="0"/>
            <c:spPr>
              <a:solidFill>
                <a:schemeClr val="accent4"/>
              </a:solidFill>
              <a:ln>
                <a:noFill/>
              </a:ln>
              <a:effectLst/>
            </c:spPr>
            <c:extLst>
              <c:ext xmlns:c16="http://schemas.microsoft.com/office/drawing/2014/chart" uri="{C3380CC4-5D6E-409C-BE32-E72D297353CC}">
                <c16:uniqueId val="{00000007-3C70-4597-89E0-76F217DE1F8B}"/>
              </c:ext>
            </c:extLst>
          </c:dPt>
          <c:dPt>
            <c:idx val="4"/>
            <c:bubble3D val="0"/>
            <c:spPr>
              <a:solidFill>
                <a:schemeClr val="accent5"/>
              </a:solidFill>
              <a:ln>
                <a:noFill/>
              </a:ln>
              <a:effectLst/>
            </c:spPr>
            <c:extLst>
              <c:ext xmlns:c16="http://schemas.microsoft.com/office/drawing/2014/chart" uri="{C3380CC4-5D6E-409C-BE32-E72D297353CC}">
                <c16:uniqueId val="{00000009-3C70-4597-89E0-76F217DE1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table'!$X$4:$X$9</c:f>
              <c:strCache>
                <c:ptCount val="5"/>
                <c:pt idx="0">
                  <c:v>Monitor</c:v>
                </c:pt>
                <c:pt idx="1">
                  <c:v>Mouse</c:v>
                </c:pt>
                <c:pt idx="2">
                  <c:v>Headset</c:v>
                </c:pt>
                <c:pt idx="3">
                  <c:v>Keyboard</c:v>
                </c:pt>
                <c:pt idx="4">
                  <c:v>Laptop</c:v>
                </c:pt>
              </c:strCache>
            </c:strRef>
          </c:cat>
          <c:val>
            <c:numRef>
              <c:f>'Pivot table'!$Y$4:$Y$9</c:f>
              <c:numCache>
                <c:formatCode>#,##0</c:formatCode>
                <c:ptCount val="5"/>
                <c:pt idx="0">
                  <c:v>66</c:v>
                </c:pt>
                <c:pt idx="1">
                  <c:v>52</c:v>
                </c:pt>
                <c:pt idx="2">
                  <c:v>39</c:v>
                </c:pt>
                <c:pt idx="3">
                  <c:v>32</c:v>
                </c:pt>
                <c:pt idx="4">
                  <c:v>30</c:v>
                </c:pt>
              </c:numCache>
            </c:numRef>
          </c:val>
          <c:extLst>
            <c:ext xmlns:c16="http://schemas.microsoft.com/office/drawing/2014/chart" uri="{C3380CC4-5D6E-409C-BE32-E72D297353CC}">
              <c16:uniqueId val="{00000006-53EF-41AF-9FE6-1AAC4EB4BC8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939562323695585"/>
          <c:y val="0.26417284630778831"/>
          <c:w val="0.17107178276006069"/>
          <c:h val="0.535717767420188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[Excel_Sales_Dashboard_Simple_Raw_Dataset.xlsx]Pivot table!PivotTable17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s>
    <c:plotArea>
      <c:layout/>
      <c:barChart>
        <c:barDir val="bar"/>
        <c:grouping val="clustered"/>
        <c:varyColors val="0"/>
        <c:ser>
          <c:idx val="0"/>
          <c:order val="0"/>
          <c:tx>
            <c:strRef>
              <c:f>'Pivot table'!$AE$3</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0-E7A6-4A94-BC09-A707E5FFABF2}"/>
              </c:ext>
            </c:extLst>
          </c:dPt>
          <c:dPt>
            <c:idx val="1"/>
            <c:invertIfNegative val="0"/>
            <c:bubble3D val="0"/>
            <c:extLst>
              <c:ext xmlns:c16="http://schemas.microsoft.com/office/drawing/2014/chart" uri="{C3380CC4-5D6E-409C-BE32-E72D297353CC}">
                <c16:uniqueId val="{00000001-E7A6-4A94-BC09-A707E5FFABF2}"/>
              </c:ext>
            </c:extLst>
          </c:dPt>
          <c:dPt>
            <c:idx val="2"/>
            <c:invertIfNegative val="0"/>
            <c:bubble3D val="0"/>
            <c:extLst>
              <c:ext xmlns:c16="http://schemas.microsoft.com/office/drawing/2014/chart" uri="{C3380CC4-5D6E-409C-BE32-E72D297353CC}">
                <c16:uniqueId val="{00000002-E7A6-4A94-BC09-A707E5FFABF2}"/>
              </c:ext>
            </c:extLst>
          </c:dPt>
          <c:dPt>
            <c:idx val="3"/>
            <c:invertIfNegative val="0"/>
            <c:bubble3D val="0"/>
            <c:extLst>
              <c:ext xmlns:c16="http://schemas.microsoft.com/office/drawing/2014/chart" uri="{C3380CC4-5D6E-409C-BE32-E72D297353CC}">
                <c16:uniqueId val="{00000003-E7A6-4A94-BC09-A707E5FFA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table'!$AD$4:$AD$8</c:f>
              <c:strCache>
                <c:ptCount val="4"/>
                <c:pt idx="0">
                  <c:v>Net Banking</c:v>
                </c:pt>
                <c:pt idx="1">
                  <c:v>UPI</c:v>
                </c:pt>
                <c:pt idx="2">
                  <c:v>Cash</c:v>
                </c:pt>
                <c:pt idx="3">
                  <c:v>Card</c:v>
                </c:pt>
              </c:strCache>
            </c:strRef>
          </c:cat>
          <c:val>
            <c:numRef>
              <c:f>'Pivot table'!$AE$4:$AE$8</c:f>
              <c:numCache>
                <c:formatCode>#,##0</c:formatCode>
                <c:ptCount val="4"/>
                <c:pt idx="0">
                  <c:v>940255</c:v>
                </c:pt>
                <c:pt idx="1">
                  <c:v>859083.5</c:v>
                </c:pt>
                <c:pt idx="2">
                  <c:v>549002.25</c:v>
                </c:pt>
                <c:pt idx="3">
                  <c:v>281023.8</c:v>
                </c:pt>
              </c:numCache>
            </c:numRef>
          </c:val>
          <c:extLst>
            <c:ext xmlns:c16="http://schemas.microsoft.com/office/drawing/2014/chart" uri="{C3380CC4-5D6E-409C-BE32-E72D297353CC}">
              <c16:uniqueId val="{0000000A-6669-492F-9A31-6469CCE0BB4C}"/>
            </c:ext>
          </c:extLst>
        </c:ser>
        <c:dLbls>
          <c:showLegendKey val="0"/>
          <c:showVal val="0"/>
          <c:showCatName val="0"/>
          <c:showSerName val="0"/>
          <c:showPercent val="0"/>
          <c:showBubbleSize val="0"/>
        </c:dLbls>
        <c:gapWidth val="100"/>
        <c:axId val="1181487055"/>
        <c:axId val="1181473743"/>
      </c:barChart>
      <c:valAx>
        <c:axId val="1181473743"/>
        <c:scaling>
          <c:orientation val="minMax"/>
        </c:scaling>
        <c:delete val="1"/>
        <c:axPos val="b"/>
        <c:numFmt formatCode="#,##0" sourceLinked="1"/>
        <c:majorTickMark val="out"/>
        <c:minorTickMark val="none"/>
        <c:tickLblPos val="nextTo"/>
        <c:crossAx val="1181487055"/>
        <c:crosses val="autoZero"/>
        <c:crossBetween val="between"/>
      </c:valAx>
      <c:catAx>
        <c:axId val="1181487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7374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26" Type="http://schemas.openxmlformats.org/officeDocument/2006/relationships/image" Target="../media/image17.png"/><Relationship Id="rId3" Type="http://schemas.openxmlformats.org/officeDocument/2006/relationships/image" Target="../media/image3.png"/><Relationship Id="rId21" Type="http://schemas.openxmlformats.org/officeDocument/2006/relationships/hyperlink" Target="#'Pivot table'!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hyperlink" Target="#Data!A1"/><Relationship Id="rId29" Type="http://schemas.openxmlformats.org/officeDocument/2006/relationships/hyperlink" Target="https://freepngimg.com/png/48749-earnings-picture-free-hd-image" TargetMode="Externa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4.svg"/><Relationship Id="rId28" Type="http://schemas.openxmlformats.org/officeDocument/2006/relationships/image" Target="../media/image19.png"/><Relationship Id="rId10" Type="http://schemas.openxmlformats.org/officeDocument/2006/relationships/image" Target="../media/image10.svg"/><Relationship Id="rId19"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3.png"/><Relationship Id="rId27" Type="http://schemas.openxmlformats.org/officeDocument/2006/relationships/image" Target="../media/image18.sv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3</xdr:col>
      <xdr:colOff>219075</xdr:colOff>
      <xdr:row>1</xdr:row>
      <xdr:rowOff>142875</xdr:rowOff>
    </xdr:from>
    <xdr:to>
      <xdr:col>5</xdr:col>
      <xdr:colOff>409575</xdr:colOff>
      <xdr:row>6</xdr:row>
      <xdr:rowOff>171450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E3D37FE-7933-4745-8458-375F4335FE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62375" y="33337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171449</xdr:colOff>
      <xdr:row>8</xdr:row>
      <xdr:rowOff>47625</xdr:rowOff>
    </xdr:from>
    <xdr:to>
      <xdr:col>6</xdr:col>
      <xdr:colOff>533400</xdr:colOff>
      <xdr:row>14</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BC3849B-144F-4FB3-AB13-75EF4B6BF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14749" y="1571625"/>
              <a:ext cx="2609851"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295275</xdr:colOff>
      <xdr:row>17</xdr:row>
      <xdr:rowOff>57150</xdr:rowOff>
    </xdr:from>
    <xdr:to>
      <xdr:col>5</xdr:col>
      <xdr:colOff>485775</xdr:colOff>
      <xdr:row>23</xdr:row>
      <xdr:rowOff>142875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6D9FCF81-EC8F-47B6-986E-49ED3A094EB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838575" y="3295650"/>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26</xdr:row>
      <xdr:rowOff>114301</xdr:rowOff>
    </xdr:from>
    <xdr:to>
      <xdr:col>6</xdr:col>
      <xdr:colOff>180975</xdr:colOff>
      <xdr:row>31</xdr:row>
      <xdr:rowOff>123825</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A7B3A423-9C31-4AE1-A710-ED6FFD25D17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724275" y="5067301"/>
              <a:ext cx="2247900"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142874</xdr:colOff>
      <xdr:row>34</xdr:row>
      <xdr:rowOff>171451</xdr:rowOff>
    </xdr:from>
    <xdr:to>
      <xdr:col>6</xdr:col>
      <xdr:colOff>361949</xdr:colOff>
      <xdr:row>40</xdr:row>
      <xdr:rowOff>19051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8FD19A1F-362B-4952-B8BC-E5A1169965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86174" y="6648451"/>
              <a:ext cx="2466975"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0</xdr:row>
      <xdr:rowOff>28575</xdr:rowOff>
    </xdr:from>
    <xdr:to>
      <xdr:col>0</xdr:col>
      <xdr:colOff>857250</xdr:colOff>
      <xdr:row>2</xdr:row>
      <xdr:rowOff>38100</xdr:rowOff>
    </xdr:to>
    <xdr:sp macro="" textlink="">
      <xdr:nvSpPr>
        <xdr:cNvPr id="13" name="Arrow: Right 12">
          <a:hlinkClick xmlns:r="http://schemas.openxmlformats.org/officeDocument/2006/relationships" r:id="rId1"/>
          <a:extLst>
            <a:ext uri="{FF2B5EF4-FFF2-40B4-BE49-F238E27FC236}">
              <a16:creationId xmlns:a16="http://schemas.microsoft.com/office/drawing/2014/main" id="{649EC008-1D81-42A8-B41B-A6DDF4082A8A}"/>
            </a:ext>
          </a:extLst>
        </xdr:cNvPr>
        <xdr:cNvSpPr/>
      </xdr:nvSpPr>
      <xdr:spPr>
        <a:xfrm>
          <a:off x="200025" y="28575"/>
          <a:ext cx="657225" cy="390525"/>
        </a:xfrm>
        <a:prstGeom prst="rightArrow">
          <a:avLst>
            <a:gd name="adj1" fmla="val 50000"/>
            <a:gd name="adj2" fmla="val 6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66676</xdr:colOff>
      <xdr:row>0</xdr:row>
      <xdr:rowOff>166686</xdr:rowOff>
    </xdr:from>
    <xdr:to>
      <xdr:col>21</xdr:col>
      <xdr:colOff>333376</xdr:colOff>
      <xdr:row>36</xdr:row>
      <xdr:rowOff>107156</xdr:rowOff>
    </xdr:to>
    <xdr:sp macro="" textlink="">
      <xdr:nvSpPr>
        <xdr:cNvPr id="2" name="Rectangle 1">
          <a:extLst>
            <a:ext uri="{FF2B5EF4-FFF2-40B4-BE49-F238E27FC236}">
              <a16:creationId xmlns:a16="http://schemas.microsoft.com/office/drawing/2014/main" id="{5752913D-D397-4F59-8B47-554C7A1119ED}"/>
            </a:ext>
          </a:extLst>
        </xdr:cNvPr>
        <xdr:cNvSpPr/>
      </xdr:nvSpPr>
      <xdr:spPr>
        <a:xfrm>
          <a:off x="66676" y="166686"/>
          <a:ext cx="13018294" cy="67984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526256</xdr:colOff>
      <xdr:row>0</xdr:row>
      <xdr:rowOff>166687</xdr:rowOff>
    </xdr:from>
    <xdr:to>
      <xdr:col>21</xdr:col>
      <xdr:colOff>354807</xdr:colOff>
      <xdr:row>36</xdr:row>
      <xdr:rowOff>83344</xdr:rowOff>
    </xdr:to>
    <xdr:sp macro="" textlink="">
      <xdr:nvSpPr>
        <xdr:cNvPr id="3" name="Rectangle: Rounded Corners 2">
          <a:extLst>
            <a:ext uri="{FF2B5EF4-FFF2-40B4-BE49-F238E27FC236}">
              <a16:creationId xmlns:a16="http://schemas.microsoft.com/office/drawing/2014/main" id="{F581854F-5B6F-4DA4-99D4-F68E2E69C471}"/>
            </a:ext>
          </a:extLst>
        </xdr:cNvPr>
        <xdr:cNvSpPr/>
      </xdr:nvSpPr>
      <xdr:spPr>
        <a:xfrm>
          <a:off x="1740694" y="166687"/>
          <a:ext cx="11365707" cy="6774657"/>
        </a:xfrm>
        <a:prstGeom prst="roundRect">
          <a:avLst>
            <a:gd name="adj" fmla="val 153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b="1" i="0">
              <a:latin typeface="Arial monospaced for SAP" panose="020B0609020202030204" pitchFamily="49" charset="0"/>
            </a:rPr>
            <a:t>SALES DATA DASHBOARD</a:t>
          </a:r>
        </a:p>
      </xdr:txBody>
    </xdr:sp>
    <xdr:clientData/>
  </xdr:twoCellAnchor>
  <xdr:twoCellAnchor editAs="oneCell">
    <xdr:from>
      <xdr:col>3</xdr:col>
      <xdr:colOff>19050</xdr:colOff>
      <xdr:row>9</xdr:row>
      <xdr:rowOff>80953</xdr:rowOff>
    </xdr:from>
    <xdr:to>
      <xdr:col>6</xdr:col>
      <xdr:colOff>-1</xdr:colOff>
      <xdr:row>14</xdr:row>
      <xdr:rowOff>95250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84DE0AD6-B474-4E07-BD06-EB638A6997E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56014" y="1795453"/>
              <a:ext cx="1817914" cy="966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57149</xdr:colOff>
      <xdr:row>9</xdr:row>
      <xdr:rowOff>85715</xdr:rowOff>
    </xdr:from>
    <xdr:to>
      <xdr:col>9</xdr:col>
      <xdr:colOff>476250</xdr:colOff>
      <xdr:row>14</xdr:row>
      <xdr:rowOff>119062</xdr:rowOff>
    </xdr:to>
    <mc:AlternateContent xmlns:mc="http://schemas.openxmlformats.org/markup-compatibility/2006" xmlns:a14="http://schemas.microsoft.com/office/drawing/2010/main">
      <mc:Choice Requires="a14">
        <xdr:graphicFrame macro="">
          <xdr:nvGraphicFramePr>
            <xdr:cNvPr id="5" name="Payment_Mode 1">
              <a:extLst>
                <a:ext uri="{FF2B5EF4-FFF2-40B4-BE49-F238E27FC236}">
                  <a16:creationId xmlns:a16="http://schemas.microsoft.com/office/drawing/2014/main" id="{365A79E1-B70F-47D5-B7BA-E88CBFCCDEAA}"/>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3731078" y="1800215"/>
              <a:ext cx="2256065" cy="985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21431</xdr:colOff>
      <xdr:row>9</xdr:row>
      <xdr:rowOff>64285</xdr:rowOff>
    </xdr:from>
    <xdr:to>
      <xdr:col>18</xdr:col>
      <xdr:colOff>192882</xdr:colOff>
      <xdr:row>14</xdr:row>
      <xdr:rowOff>95250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B380722-D952-4855-A47C-A11C3B2E2C1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93931" y="1778785"/>
              <a:ext cx="2620737" cy="98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228600</xdr:colOff>
      <xdr:row>9</xdr:row>
      <xdr:rowOff>47617</xdr:rowOff>
    </xdr:from>
    <xdr:to>
      <xdr:col>21</xdr:col>
      <xdr:colOff>228600</xdr:colOff>
      <xdr:row>14</xdr:row>
      <xdr:rowOff>95250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C8E9585A-99D2-493C-8F12-8EE4539E5C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50386" y="1762117"/>
              <a:ext cx="1836964" cy="1000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526254</xdr:colOff>
      <xdr:row>9</xdr:row>
      <xdr:rowOff>83333</xdr:rowOff>
    </xdr:from>
    <xdr:to>
      <xdr:col>13</xdr:col>
      <xdr:colOff>595312</xdr:colOff>
      <xdr:row>14</xdr:row>
      <xdr:rowOff>83344</xdr:rowOff>
    </xdr:to>
    <mc:AlternateContent xmlns:mc="http://schemas.openxmlformats.org/markup-compatibility/2006" xmlns:a14="http://schemas.microsoft.com/office/drawing/2010/main">
      <mc:Choice Requires="a14">
        <xdr:graphicFrame macro="">
          <xdr:nvGraphicFramePr>
            <xdr:cNvPr id="9" name="Product 2">
              <a:extLst>
                <a:ext uri="{FF2B5EF4-FFF2-40B4-BE49-F238E27FC236}">
                  <a16:creationId xmlns:a16="http://schemas.microsoft.com/office/drawing/2014/main" id="{8A2686CB-8812-42E7-90EC-50F0F2C2E80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037147" y="1797833"/>
              <a:ext cx="2518344" cy="952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xdr:colOff>
      <xdr:row>4</xdr:row>
      <xdr:rowOff>188119</xdr:rowOff>
    </xdr:from>
    <xdr:to>
      <xdr:col>5</xdr:col>
      <xdr:colOff>438151</xdr:colOff>
      <xdr:row>8</xdr:row>
      <xdr:rowOff>104775</xdr:rowOff>
    </xdr:to>
    <xdr:sp macro="" textlink="">
      <xdr:nvSpPr>
        <xdr:cNvPr id="10" name="Rectangle: Rounded Corners 9">
          <a:extLst>
            <a:ext uri="{FF2B5EF4-FFF2-40B4-BE49-F238E27FC236}">
              <a16:creationId xmlns:a16="http://schemas.microsoft.com/office/drawing/2014/main" id="{9FC09A04-E48C-449C-A750-6181809F84D8}"/>
            </a:ext>
          </a:extLst>
        </xdr:cNvPr>
        <xdr:cNvSpPr/>
      </xdr:nvSpPr>
      <xdr:spPr>
        <a:xfrm>
          <a:off x="1876425" y="950119"/>
          <a:ext cx="1609726"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Total</a:t>
          </a:r>
          <a:r>
            <a:rPr lang="en-IN" sz="1400" b="1" baseline="0">
              <a:solidFill>
                <a:schemeClr val="tx2"/>
              </a:solidFill>
            </a:rPr>
            <a:t> sales</a:t>
          </a:r>
          <a:endParaRPr lang="en-IN" sz="1400" b="1">
            <a:solidFill>
              <a:schemeClr val="tx2"/>
            </a:solidFill>
          </a:endParaRPr>
        </a:p>
      </xdr:txBody>
    </xdr:sp>
    <xdr:clientData/>
  </xdr:twoCellAnchor>
  <xdr:twoCellAnchor>
    <xdr:from>
      <xdr:col>6</xdr:col>
      <xdr:colOff>19051</xdr:colOff>
      <xdr:row>4</xdr:row>
      <xdr:rowOff>171450</xdr:rowOff>
    </xdr:from>
    <xdr:to>
      <xdr:col>8</xdr:col>
      <xdr:colOff>521196</xdr:colOff>
      <xdr:row>8</xdr:row>
      <xdr:rowOff>88106</xdr:rowOff>
    </xdr:to>
    <xdr:sp macro="" textlink="">
      <xdr:nvSpPr>
        <xdr:cNvPr id="11" name="Rectangle: Rounded Corners 10">
          <a:extLst>
            <a:ext uri="{FF2B5EF4-FFF2-40B4-BE49-F238E27FC236}">
              <a16:creationId xmlns:a16="http://schemas.microsoft.com/office/drawing/2014/main" id="{DC63A0EA-0521-4F5F-BC6D-3FE308060CFA}"/>
            </a:ext>
          </a:extLst>
        </xdr:cNvPr>
        <xdr:cNvSpPr/>
      </xdr:nvSpPr>
      <xdr:spPr>
        <a:xfrm>
          <a:off x="3662364" y="933450"/>
          <a:ext cx="1716582"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Total cost</a:t>
          </a:r>
        </a:p>
      </xdr:txBody>
    </xdr:sp>
    <xdr:clientData/>
  </xdr:twoCellAnchor>
  <xdr:twoCellAnchor>
    <xdr:from>
      <xdr:col>9</xdr:col>
      <xdr:colOff>114300</xdr:colOff>
      <xdr:row>4</xdr:row>
      <xdr:rowOff>183357</xdr:rowOff>
    </xdr:from>
    <xdr:to>
      <xdr:col>12</xdr:col>
      <xdr:colOff>6845</xdr:colOff>
      <xdr:row>8</xdr:row>
      <xdr:rowOff>100013</xdr:rowOff>
    </xdr:to>
    <xdr:sp macro="" textlink="">
      <xdr:nvSpPr>
        <xdr:cNvPr id="12" name="Rectangle: Rounded Corners 11">
          <a:extLst>
            <a:ext uri="{FF2B5EF4-FFF2-40B4-BE49-F238E27FC236}">
              <a16:creationId xmlns:a16="http://schemas.microsoft.com/office/drawing/2014/main" id="{4A198714-8310-4604-8A48-05667B98212B}"/>
            </a:ext>
          </a:extLst>
        </xdr:cNvPr>
        <xdr:cNvSpPr/>
      </xdr:nvSpPr>
      <xdr:spPr>
        <a:xfrm>
          <a:off x="5579269" y="945357"/>
          <a:ext cx="1714201"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Total</a:t>
          </a:r>
          <a:r>
            <a:rPr lang="en-IN" sz="1400" b="1" baseline="0">
              <a:solidFill>
                <a:schemeClr val="tx2"/>
              </a:solidFill>
            </a:rPr>
            <a:t> profit</a:t>
          </a:r>
          <a:endParaRPr lang="en-IN" sz="1400" b="1">
            <a:solidFill>
              <a:schemeClr val="tx2"/>
            </a:solidFill>
          </a:endParaRPr>
        </a:p>
      </xdr:txBody>
    </xdr:sp>
    <xdr:clientData/>
  </xdr:twoCellAnchor>
  <xdr:twoCellAnchor>
    <xdr:from>
      <xdr:col>12</xdr:col>
      <xdr:colOff>197644</xdr:colOff>
      <xdr:row>4</xdr:row>
      <xdr:rowOff>183356</xdr:rowOff>
    </xdr:from>
    <xdr:to>
      <xdr:col>15</xdr:col>
      <xdr:colOff>90189</xdr:colOff>
      <xdr:row>8</xdr:row>
      <xdr:rowOff>100012</xdr:rowOff>
    </xdr:to>
    <xdr:sp macro="" textlink="">
      <xdr:nvSpPr>
        <xdr:cNvPr id="13" name="Rectangle: Rounded Corners 12">
          <a:extLst>
            <a:ext uri="{FF2B5EF4-FFF2-40B4-BE49-F238E27FC236}">
              <a16:creationId xmlns:a16="http://schemas.microsoft.com/office/drawing/2014/main" id="{6019CFA6-C3B9-426F-95DA-6ACC95B31CDC}"/>
            </a:ext>
          </a:extLst>
        </xdr:cNvPr>
        <xdr:cNvSpPr/>
      </xdr:nvSpPr>
      <xdr:spPr>
        <a:xfrm>
          <a:off x="7484269" y="945356"/>
          <a:ext cx="1714201"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Profit margin %</a:t>
          </a:r>
        </a:p>
      </xdr:txBody>
    </xdr:sp>
    <xdr:clientData/>
  </xdr:twoCellAnchor>
  <xdr:twoCellAnchor>
    <xdr:from>
      <xdr:col>15</xdr:col>
      <xdr:colOff>278477</xdr:colOff>
      <xdr:row>4</xdr:row>
      <xdr:rowOff>183355</xdr:rowOff>
    </xdr:from>
    <xdr:to>
      <xdr:col>18</xdr:col>
      <xdr:colOff>173833</xdr:colOff>
      <xdr:row>8</xdr:row>
      <xdr:rowOff>100011</xdr:rowOff>
    </xdr:to>
    <xdr:sp macro="" textlink="">
      <xdr:nvSpPr>
        <xdr:cNvPr id="14" name="Rectangle: Rounded Corners 13">
          <a:extLst>
            <a:ext uri="{FF2B5EF4-FFF2-40B4-BE49-F238E27FC236}">
              <a16:creationId xmlns:a16="http://schemas.microsoft.com/office/drawing/2014/main" id="{4A02EE5B-9EAA-4C3C-9672-42FC3BBC98D4}"/>
            </a:ext>
          </a:extLst>
        </xdr:cNvPr>
        <xdr:cNvSpPr/>
      </xdr:nvSpPr>
      <xdr:spPr>
        <a:xfrm>
          <a:off x="9386758" y="945355"/>
          <a:ext cx="1717013"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Total</a:t>
          </a:r>
          <a:r>
            <a:rPr lang="en-IN" sz="1400" b="1" baseline="0">
              <a:solidFill>
                <a:schemeClr val="tx2"/>
              </a:solidFill>
            </a:rPr>
            <a:t> orders</a:t>
          </a:r>
          <a:endParaRPr lang="en-IN" sz="1400" b="1">
            <a:solidFill>
              <a:schemeClr val="tx2"/>
            </a:solidFill>
          </a:endParaRPr>
        </a:p>
      </xdr:txBody>
    </xdr:sp>
    <xdr:clientData/>
  </xdr:twoCellAnchor>
  <xdr:twoCellAnchor>
    <xdr:from>
      <xdr:col>18</xdr:col>
      <xdr:colOff>345281</xdr:colOff>
      <xdr:row>4</xdr:row>
      <xdr:rowOff>169069</xdr:rowOff>
    </xdr:from>
    <xdr:to>
      <xdr:col>21</xdr:col>
      <xdr:colOff>183357</xdr:colOff>
      <xdr:row>8</xdr:row>
      <xdr:rowOff>85725</xdr:rowOff>
    </xdr:to>
    <xdr:sp macro="" textlink="">
      <xdr:nvSpPr>
        <xdr:cNvPr id="15" name="Rectangle: Rounded Corners 14">
          <a:extLst>
            <a:ext uri="{FF2B5EF4-FFF2-40B4-BE49-F238E27FC236}">
              <a16:creationId xmlns:a16="http://schemas.microsoft.com/office/drawing/2014/main" id="{50B28199-61CB-4728-8EAE-B489FA729BA3}"/>
            </a:ext>
          </a:extLst>
        </xdr:cNvPr>
        <xdr:cNvSpPr/>
      </xdr:nvSpPr>
      <xdr:spPr>
        <a:xfrm>
          <a:off x="11275219" y="931069"/>
          <a:ext cx="1659732" cy="67865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chemeClr val="tx2"/>
              </a:solidFill>
            </a:rPr>
            <a:t>Total quantity</a:t>
          </a:r>
        </a:p>
      </xdr:txBody>
    </xdr:sp>
    <xdr:clientData/>
  </xdr:twoCellAnchor>
  <xdr:twoCellAnchor editAs="oneCell">
    <xdr:from>
      <xdr:col>3</xdr:col>
      <xdr:colOff>19051</xdr:colOff>
      <xdr:row>6</xdr:row>
      <xdr:rowOff>9526</xdr:rowOff>
    </xdr:from>
    <xdr:to>
      <xdr:col>3</xdr:col>
      <xdr:colOff>457201</xdr:colOff>
      <xdr:row>8</xdr:row>
      <xdr:rowOff>66676</xdr:rowOff>
    </xdr:to>
    <xdr:pic>
      <xdr:nvPicPr>
        <xdr:cNvPr id="17" name="Graphic 16" descr="Rupee">
          <a:extLst>
            <a:ext uri="{FF2B5EF4-FFF2-40B4-BE49-F238E27FC236}">
              <a16:creationId xmlns:a16="http://schemas.microsoft.com/office/drawing/2014/main" id="{41CCD093-0C36-4F28-99EA-37EDE200AD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47851" y="1152526"/>
          <a:ext cx="438150" cy="438150"/>
        </a:xfrm>
        <a:prstGeom prst="rect">
          <a:avLst/>
        </a:prstGeom>
      </xdr:spPr>
    </xdr:pic>
    <xdr:clientData/>
  </xdr:twoCellAnchor>
  <xdr:twoCellAnchor editAs="oneCell">
    <xdr:from>
      <xdr:col>6</xdr:col>
      <xdr:colOff>78581</xdr:colOff>
      <xdr:row>5</xdr:row>
      <xdr:rowOff>138113</xdr:rowOff>
    </xdr:from>
    <xdr:to>
      <xdr:col>6</xdr:col>
      <xdr:colOff>545306</xdr:colOff>
      <xdr:row>8</xdr:row>
      <xdr:rowOff>33338</xdr:rowOff>
    </xdr:to>
    <xdr:pic>
      <xdr:nvPicPr>
        <xdr:cNvPr id="19" name="Graphic 18" descr="Downward trend">
          <a:extLst>
            <a:ext uri="{FF2B5EF4-FFF2-40B4-BE49-F238E27FC236}">
              <a16:creationId xmlns:a16="http://schemas.microsoft.com/office/drawing/2014/main" id="{2B7A698F-6B59-4475-9F66-69B8028460D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721894" y="1090613"/>
          <a:ext cx="466725" cy="466725"/>
        </a:xfrm>
        <a:prstGeom prst="rect">
          <a:avLst/>
        </a:prstGeom>
      </xdr:spPr>
    </xdr:pic>
    <xdr:clientData/>
  </xdr:twoCellAnchor>
  <xdr:twoCellAnchor editAs="oneCell">
    <xdr:from>
      <xdr:col>9</xdr:col>
      <xdr:colOff>132331</xdr:colOff>
      <xdr:row>6</xdr:row>
      <xdr:rowOff>11568</xdr:rowOff>
    </xdr:from>
    <xdr:to>
      <xdr:col>9</xdr:col>
      <xdr:colOff>592252</xdr:colOff>
      <xdr:row>8</xdr:row>
      <xdr:rowOff>87768</xdr:rowOff>
    </xdr:to>
    <xdr:pic>
      <xdr:nvPicPr>
        <xdr:cNvPr id="21" name="Graphic 20" descr="Bar graph with upward trend">
          <a:extLst>
            <a:ext uri="{FF2B5EF4-FFF2-40B4-BE49-F238E27FC236}">
              <a16:creationId xmlns:a16="http://schemas.microsoft.com/office/drawing/2014/main" id="{519A877C-6052-4C1E-B08F-264D54F3B3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643224" y="1154568"/>
          <a:ext cx="459921" cy="457200"/>
        </a:xfrm>
        <a:prstGeom prst="rect">
          <a:avLst/>
        </a:prstGeom>
      </xdr:spPr>
    </xdr:pic>
    <xdr:clientData/>
  </xdr:twoCellAnchor>
  <xdr:twoCellAnchor editAs="oneCell">
    <xdr:from>
      <xdr:col>12</xdr:col>
      <xdr:colOff>276566</xdr:colOff>
      <xdr:row>6</xdr:row>
      <xdr:rowOff>59871</xdr:rowOff>
    </xdr:from>
    <xdr:to>
      <xdr:col>13</xdr:col>
      <xdr:colOff>76541</xdr:colOff>
      <xdr:row>8</xdr:row>
      <xdr:rowOff>88446</xdr:rowOff>
    </xdr:to>
    <xdr:pic>
      <xdr:nvPicPr>
        <xdr:cNvPr id="23" name="Graphic 22" descr="Bullseye">
          <a:extLst>
            <a:ext uri="{FF2B5EF4-FFF2-40B4-BE49-F238E27FC236}">
              <a16:creationId xmlns:a16="http://schemas.microsoft.com/office/drawing/2014/main" id="{2DBC183F-25D6-429D-A924-797D8AFE6C3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624423" y="1202871"/>
          <a:ext cx="412297" cy="409575"/>
        </a:xfrm>
        <a:prstGeom prst="rect">
          <a:avLst/>
        </a:prstGeom>
      </xdr:spPr>
    </xdr:pic>
    <xdr:clientData/>
  </xdr:twoCellAnchor>
  <xdr:twoCellAnchor editAs="oneCell">
    <xdr:from>
      <xdr:col>15</xdr:col>
      <xdr:colOff>284389</xdr:colOff>
      <xdr:row>6</xdr:row>
      <xdr:rowOff>17690</xdr:rowOff>
    </xdr:from>
    <xdr:to>
      <xdr:col>16</xdr:col>
      <xdr:colOff>112939</xdr:colOff>
      <xdr:row>8</xdr:row>
      <xdr:rowOff>74840</xdr:rowOff>
    </xdr:to>
    <xdr:pic>
      <xdr:nvPicPr>
        <xdr:cNvPr id="25" name="Graphic 24" descr="Shopping cart">
          <a:extLst>
            <a:ext uri="{FF2B5EF4-FFF2-40B4-BE49-F238E27FC236}">
              <a16:creationId xmlns:a16="http://schemas.microsoft.com/office/drawing/2014/main" id="{BB47470D-111D-4733-9B96-558241A3BF9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469210" y="1160690"/>
          <a:ext cx="440872" cy="438150"/>
        </a:xfrm>
        <a:prstGeom prst="rect">
          <a:avLst/>
        </a:prstGeom>
      </xdr:spPr>
    </xdr:pic>
    <xdr:clientData/>
  </xdr:twoCellAnchor>
  <xdr:twoCellAnchor editAs="oneCell">
    <xdr:from>
      <xdr:col>18</xdr:col>
      <xdr:colOff>387464</xdr:colOff>
      <xdr:row>5</xdr:row>
      <xdr:rowOff>161585</xdr:rowOff>
    </xdr:from>
    <xdr:to>
      <xdr:col>19</xdr:col>
      <xdr:colOff>263639</xdr:colOff>
      <xdr:row>8</xdr:row>
      <xdr:rowOff>75860</xdr:rowOff>
    </xdr:to>
    <xdr:pic>
      <xdr:nvPicPr>
        <xdr:cNvPr id="27" name="Graphic 26" descr="Bar chart">
          <a:extLst>
            <a:ext uri="{FF2B5EF4-FFF2-40B4-BE49-F238E27FC236}">
              <a16:creationId xmlns:a16="http://schemas.microsoft.com/office/drawing/2014/main" id="{0E5F6E89-8003-415C-A0A4-EC2E47AFA6D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409250" y="1114085"/>
          <a:ext cx="488496" cy="485775"/>
        </a:xfrm>
        <a:prstGeom prst="rect">
          <a:avLst/>
        </a:prstGeom>
      </xdr:spPr>
    </xdr:pic>
    <xdr:clientData/>
  </xdr:twoCellAnchor>
  <xdr:twoCellAnchor>
    <xdr:from>
      <xdr:col>3</xdr:col>
      <xdr:colOff>61913</xdr:colOff>
      <xdr:row>14</xdr:row>
      <xdr:rowOff>178594</xdr:rowOff>
    </xdr:from>
    <xdr:to>
      <xdr:col>9</xdr:col>
      <xdr:colOff>321468</xdr:colOff>
      <xdr:row>24</xdr:row>
      <xdr:rowOff>121445</xdr:rowOff>
    </xdr:to>
    <xdr:graphicFrame macro="">
      <xdr:nvGraphicFramePr>
        <xdr:cNvPr id="28" name="Chart 27">
          <a:extLst>
            <a:ext uri="{FF2B5EF4-FFF2-40B4-BE49-F238E27FC236}">
              <a16:creationId xmlns:a16="http://schemas.microsoft.com/office/drawing/2014/main" id="{C5065754-9718-46BE-9D4C-186DC5361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392906</xdr:colOff>
      <xdr:row>14</xdr:row>
      <xdr:rowOff>154782</xdr:rowOff>
    </xdr:from>
    <xdr:to>
      <xdr:col>15</xdr:col>
      <xdr:colOff>428625</xdr:colOff>
      <xdr:row>24</xdr:row>
      <xdr:rowOff>130969</xdr:rowOff>
    </xdr:to>
    <xdr:graphicFrame macro="">
      <xdr:nvGraphicFramePr>
        <xdr:cNvPr id="29" name="Chart 28">
          <a:extLst>
            <a:ext uri="{FF2B5EF4-FFF2-40B4-BE49-F238E27FC236}">
              <a16:creationId xmlns:a16="http://schemas.microsoft.com/office/drawing/2014/main" id="{8C8CCA34-1F9E-47CB-87EC-1041D3B29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511969</xdr:colOff>
      <xdr:row>14</xdr:row>
      <xdr:rowOff>154781</xdr:rowOff>
    </xdr:from>
    <xdr:to>
      <xdr:col>21</xdr:col>
      <xdr:colOff>178594</xdr:colOff>
      <xdr:row>24</xdr:row>
      <xdr:rowOff>119062</xdr:rowOff>
    </xdr:to>
    <xdr:graphicFrame macro="">
      <xdr:nvGraphicFramePr>
        <xdr:cNvPr id="30" name="Chart 29">
          <a:extLst>
            <a:ext uri="{FF2B5EF4-FFF2-40B4-BE49-F238E27FC236}">
              <a16:creationId xmlns:a16="http://schemas.microsoft.com/office/drawing/2014/main" id="{18A4F6E9-ED0D-417E-98BC-39C551E10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61913</xdr:colOff>
      <xdr:row>24</xdr:row>
      <xdr:rowOff>178594</xdr:rowOff>
    </xdr:from>
    <xdr:to>
      <xdr:col>9</xdr:col>
      <xdr:colOff>285750</xdr:colOff>
      <xdr:row>35</xdr:row>
      <xdr:rowOff>71437</xdr:rowOff>
    </xdr:to>
    <xdr:graphicFrame macro="">
      <xdr:nvGraphicFramePr>
        <xdr:cNvPr id="31" name="Chart 30">
          <a:extLst>
            <a:ext uri="{FF2B5EF4-FFF2-40B4-BE49-F238E27FC236}">
              <a16:creationId xmlns:a16="http://schemas.microsoft.com/office/drawing/2014/main" id="{7DB25E57-1188-46CA-A6A5-F6787D7F7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357189</xdr:colOff>
      <xdr:row>25</xdr:row>
      <xdr:rowOff>23812</xdr:rowOff>
    </xdr:from>
    <xdr:to>
      <xdr:col>15</xdr:col>
      <xdr:colOff>452439</xdr:colOff>
      <xdr:row>35</xdr:row>
      <xdr:rowOff>119063</xdr:rowOff>
    </xdr:to>
    <xdr:graphicFrame macro="">
      <xdr:nvGraphicFramePr>
        <xdr:cNvPr id="32" name="Chart 31">
          <a:extLst>
            <a:ext uri="{FF2B5EF4-FFF2-40B4-BE49-F238E27FC236}">
              <a16:creationId xmlns:a16="http://schemas.microsoft.com/office/drawing/2014/main" id="{F71B081F-1EB5-4299-8DB4-94975B7E4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511970</xdr:colOff>
      <xdr:row>24</xdr:row>
      <xdr:rowOff>178594</xdr:rowOff>
    </xdr:from>
    <xdr:to>
      <xdr:col>21</xdr:col>
      <xdr:colOff>166688</xdr:colOff>
      <xdr:row>35</xdr:row>
      <xdr:rowOff>71440</xdr:rowOff>
    </xdr:to>
    <xdr:graphicFrame macro="">
      <xdr:nvGraphicFramePr>
        <xdr:cNvPr id="33" name="Chart 32">
          <a:extLst>
            <a:ext uri="{FF2B5EF4-FFF2-40B4-BE49-F238E27FC236}">
              <a16:creationId xmlns:a16="http://schemas.microsoft.com/office/drawing/2014/main" id="{16303E42-F9C2-41DC-9EA2-8E7EC3B9D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500063</xdr:colOff>
      <xdr:row>6</xdr:row>
      <xdr:rowOff>71437</xdr:rowOff>
    </xdr:from>
    <xdr:to>
      <xdr:col>5</xdr:col>
      <xdr:colOff>130969</xdr:colOff>
      <xdr:row>7</xdr:row>
      <xdr:rowOff>142874</xdr:rowOff>
    </xdr:to>
    <xdr:sp macro="" textlink="'Pivot table'!B4">
      <xdr:nvSpPr>
        <xdr:cNvPr id="37" name="TextBox 36">
          <a:extLst>
            <a:ext uri="{FF2B5EF4-FFF2-40B4-BE49-F238E27FC236}">
              <a16:creationId xmlns:a16="http://schemas.microsoft.com/office/drawing/2014/main" id="{7DCD7019-8E35-46A9-BE3F-3C1BD8FDD4D5}"/>
            </a:ext>
          </a:extLst>
        </xdr:cNvPr>
        <xdr:cNvSpPr txBox="1"/>
      </xdr:nvSpPr>
      <xdr:spPr>
        <a:xfrm>
          <a:off x="2321719" y="1214437"/>
          <a:ext cx="84534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6E9CC8-1174-453E-8C9D-2C65325C3EE8}" type="TxLink">
            <a:rPr lang="en-US" sz="1400" b="1" i="0" u="none" strike="noStrike">
              <a:solidFill>
                <a:schemeClr val="tx1"/>
              </a:solidFill>
              <a:latin typeface="Calibri"/>
              <a:cs typeface="Calibri"/>
            </a:rPr>
            <a:pPr/>
            <a:t>2629364.55</a:t>
          </a:fld>
          <a:endParaRPr lang="en-IN" sz="1400" b="1">
            <a:solidFill>
              <a:schemeClr val="tx1"/>
            </a:solidFill>
          </a:endParaRPr>
        </a:p>
      </xdr:txBody>
    </xdr:sp>
    <xdr:clientData/>
  </xdr:twoCellAnchor>
  <xdr:twoCellAnchor>
    <xdr:from>
      <xdr:col>6</xdr:col>
      <xdr:colOff>583404</xdr:colOff>
      <xdr:row>6</xdr:row>
      <xdr:rowOff>71438</xdr:rowOff>
    </xdr:from>
    <xdr:to>
      <xdr:col>8</xdr:col>
      <xdr:colOff>214312</xdr:colOff>
      <xdr:row>7</xdr:row>
      <xdr:rowOff>142875</xdr:rowOff>
    </xdr:to>
    <xdr:sp macro="" textlink="'Pivot table'!B7">
      <xdr:nvSpPr>
        <xdr:cNvPr id="38" name="TextBox 37">
          <a:extLst>
            <a:ext uri="{FF2B5EF4-FFF2-40B4-BE49-F238E27FC236}">
              <a16:creationId xmlns:a16="http://schemas.microsoft.com/office/drawing/2014/main" id="{8891EC18-0F00-469B-88D2-7D5299EA1142}"/>
            </a:ext>
          </a:extLst>
        </xdr:cNvPr>
        <xdr:cNvSpPr txBox="1"/>
      </xdr:nvSpPr>
      <xdr:spPr>
        <a:xfrm>
          <a:off x="4226717" y="1214438"/>
          <a:ext cx="84534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DF1B5C-3917-45CB-9DCD-C9D9C772DA3E}" type="TxLink">
            <a:rPr lang="en-US" sz="1400" b="1" i="0" u="none" strike="noStrike">
              <a:solidFill>
                <a:schemeClr val="tx1"/>
              </a:solidFill>
              <a:latin typeface="Calibri"/>
              <a:cs typeface="Calibri"/>
            </a:rPr>
            <a:pPr/>
            <a:t>1849361.03</a:t>
          </a:fld>
          <a:endParaRPr lang="en-IN" sz="1400" b="1">
            <a:solidFill>
              <a:schemeClr val="tx1"/>
            </a:solidFill>
          </a:endParaRPr>
        </a:p>
      </xdr:txBody>
    </xdr:sp>
    <xdr:clientData/>
  </xdr:twoCellAnchor>
  <xdr:twoCellAnchor>
    <xdr:from>
      <xdr:col>10</xdr:col>
      <xdr:colOff>95249</xdr:colOff>
      <xdr:row>6</xdr:row>
      <xdr:rowOff>71437</xdr:rowOff>
    </xdr:from>
    <xdr:to>
      <xdr:col>11</xdr:col>
      <xdr:colOff>190500</xdr:colOff>
      <xdr:row>7</xdr:row>
      <xdr:rowOff>130968</xdr:rowOff>
    </xdr:to>
    <xdr:sp macro="" textlink="'Pivot table'!B11">
      <xdr:nvSpPr>
        <xdr:cNvPr id="39" name="TextBox 38">
          <a:extLst>
            <a:ext uri="{FF2B5EF4-FFF2-40B4-BE49-F238E27FC236}">
              <a16:creationId xmlns:a16="http://schemas.microsoft.com/office/drawing/2014/main" id="{BA38C49B-5B1F-45D2-A6E5-1C382D6A0B81}"/>
            </a:ext>
          </a:extLst>
        </xdr:cNvPr>
        <xdr:cNvSpPr txBox="1"/>
      </xdr:nvSpPr>
      <xdr:spPr>
        <a:xfrm>
          <a:off x="6167437" y="1214437"/>
          <a:ext cx="70246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13033A-6BCA-49A5-8535-B58EED985693}" type="TxLink">
            <a:rPr lang="en-US" sz="1400" b="1" i="0" u="none" strike="noStrike">
              <a:solidFill>
                <a:srgbClr val="000000"/>
              </a:solidFill>
              <a:latin typeface="Calibri"/>
              <a:cs typeface="Calibri"/>
            </a:rPr>
            <a:pPr/>
            <a:t>780003.52</a:t>
          </a:fld>
          <a:endParaRPr lang="en-IN" sz="1400" b="1"/>
        </a:p>
      </xdr:txBody>
    </xdr:sp>
    <xdr:clientData/>
  </xdr:twoCellAnchor>
  <xdr:twoCellAnchor>
    <xdr:from>
      <xdr:col>13</xdr:col>
      <xdr:colOff>59532</xdr:colOff>
      <xdr:row>6</xdr:row>
      <xdr:rowOff>107156</xdr:rowOff>
    </xdr:from>
    <xdr:to>
      <xdr:col>14</xdr:col>
      <xdr:colOff>381000</xdr:colOff>
      <xdr:row>7</xdr:row>
      <xdr:rowOff>107156</xdr:rowOff>
    </xdr:to>
    <xdr:sp macro="" textlink="'Pivot table'!B15">
      <xdr:nvSpPr>
        <xdr:cNvPr id="40" name="TextBox 39">
          <a:extLst>
            <a:ext uri="{FF2B5EF4-FFF2-40B4-BE49-F238E27FC236}">
              <a16:creationId xmlns:a16="http://schemas.microsoft.com/office/drawing/2014/main" id="{1666C598-AF62-4EE6-ABD5-9E709D883AD6}"/>
            </a:ext>
          </a:extLst>
        </xdr:cNvPr>
        <xdr:cNvSpPr txBox="1"/>
      </xdr:nvSpPr>
      <xdr:spPr>
        <a:xfrm>
          <a:off x="7953376" y="1250156"/>
          <a:ext cx="928687"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880B82-AFAA-4E69-9D0B-12D6E624BB11}" type="TxLink">
            <a:rPr lang="en-US" sz="1200" b="1" i="0" u="none" strike="noStrike">
              <a:solidFill>
                <a:schemeClr val="tx1"/>
              </a:solidFill>
              <a:latin typeface="Calibri"/>
              <a:cs typeface="Calibri"/>
            </a:rPr>
            <a:pPr/>
            <a:t>23.08107199</a:t>
          </a:fld>
          <a:endParaRPr lang="en-IN" sz="1200" b="1">
            <a:solidFill>
              <a:schemeClr val="tx1"/>
            </a:solidFill>
          </a:endParaRPr>
        </a:p>
      </xdr:txBody>
    </xdr:sp>
    <xdr:clientData/>
  </xdr:twoCellAnchor>
  <xdr:twoCellAnchor>
    <xdr:from>
      <xdr:col>16</xdr:col>
      <xdr:colOff>369093</xdr:colOff>
      <xdr:row>6</xdr:row>
      <xdr:rowOff>71438</xdr:rowOff>
    </xdr:from>
    <xdr:to>
      <xdr:col>18</xdr:col>
      <xdr:colOff>23812</xdr:colOff>
      <xdr:row>7</xdr:row>
      <xdr:rowOff>95250</xdr:rowOff>
    </xdr:to>
    <xdr:sp macro="" textlink="'Pivot table'!B19">
      <xdr:nvSpPr>
        <xdr:cNvPr id="41" name="TextBox 40">
          <a:extLst>
            <a:ext uri="{FF2B5EF4-FFF2-40B4-BE49-F238E27FC236}">
              <a16:creationId xmlns:a16="http://schemas.microsoft.com/office/drawing/2014/main" id="{2981A414-AEBE-4B7C-B2BF-8C9610EF0612}"/>
            </a:ext>
          </a:extLst>
        </xdr:cNvPr>
        <xdr:cNvSpPr txBox="1"/>
      </xdr:nvSpPr>
      <xdr:spPr>
        <a:xfrm>
          <a:off x="10084593" y="1214438"/>
          <a:ext cx="86915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334F0E-3072-4A34-8D4C-DD6A9E43FC5B}" type="TxLink">
            <a:rPr lang="en-US" sz="1400" b="1" i="0" u="none" strike="noStrike">
              <a:solidFill>
                <a:schemeClr val="tx1"/>
              </a:solidFill>
              <a:latin typeface="Calibri"/>
              <a:cs typeface="Calibri"/>
            </a:rPr>
            <a:pPr/>
            <a:t>80</a:t>
          </a:fld>
          <a:endParaRPr lang="en-IN" sz="1400" b="1">
            <a:solidFill>
              <a:schemeClr val="tx1"/>
            </a:solidFill>
          </a:endParaRPr>
        </a:p>
      </xdr:txBody>
    </xdr:sp>
    <xdr:clientData/>
  </xdr:twoCellAnchor>
  <xdr:twoCellAnchor>
    <xdr:from>
      <xdr:col>19</xdr:col>
      <xdr:colOff>416719</xdr:colOff>
      <xdr:row>6</xdr:row>
      <xdr:rowOff>71438</xdr:rowOff>
    </xdr:from>
    <xdr:to>
      <xdr:col>21</xdr:col>
      <xdr:colOff>47625</xdr:colOff>
      <xdr:row>7</xdr:row>
      <xdr:rowOff>71438</xdr:rowOff>
    </xdr:to>
    <xdr:sp macro="" textlink="'Pivot table'!B23">
      <xdr:nvSpPr>
        <xdr:cNvPr id="42" name="TextBox 41">
          <a:extLst>
            <a:ext uri="{FF2B5EF4-FFF2-40B4-BE49-F238E27FC236}">
              <a16:creationId xmlns:a16="http://schemas.microsoft.com/office/drawing/2014/main" id="{C05567D0-E888-4481-99DD-7A001D482C69}"/>
            </a:ext>
          </a:extLst>
        </xdr:cNvPr>
        <xdr:cNvSpPr txBox="1"/>
      </xdr:nvSpPr>
      <xdr:spPr>
        <a:xfrm>
          <a:off x="11953875" y="1214438"/>
          <a:ext cx="84534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8C0817-A36A-4E14-929B-E3EC956AF967}" type="TxLink">
            <a:rPr lang="en-US" sz="1200" b="1" i="0" u="none" strike="noStrike">
              <a:solidFill>
                <a:schemeClr val="tx1"/>
              </a:solidFill>
              <a:latin typeface="Calibri"/>
              <a:cs typeface="Calibri"/>
            </a:rPr>
            <a:pPr/>
            <a:t>219</a:t>
          </a:fld>
          <a:endParaRPr lang="en-IN" sz="1200" b="1">
            <a:solidFill>
              <a:schemeClr val="tx1"/>
            </a:solidFill>
          </a:endParaRPr>
        </a:p>
      </xdr:txBody>
    </xdr:sp>
    <xdr:clientData/>
  </xdr:twoCellAnchor>
  <xdr:twoCellAnchor>
    <xdr:from>
      <xdr:col>0</xdr:col>
      <xdr:colOff>250030</xdr:colOff>
      <xdr:row>2</xdr:row>
      <xdr:rowOff>142874</xdr:rowOff>
    </xdr:from>
    <xdr:to>
      <xdr:col>2</xdr:col>
      <xdr:colOff>321467</xdr:colOff>
      <xdr:row>9</xdr:row>
      <xdr:rowOff>178593</xdr:rowOff>
    </xdr:to>
    <xdr:sp macro="" textlink="">
      <xdr:nvSpPr>
        <xdr:cNvPr id="45" name="Rectangle: Rounded Corners 44">
          <a:extLst>
            <a:ext uri="{FF2B5EF4-FFF2-40B4-BE49-F238E27FC236}">
              <a16:creationId xmlns:a16="http://schemas.microsoft.com/office/drawing/2014/main" id="{A7D747EE-F8FC-4022-856B-5075B4D214E9}"/>
            </a:ext>
          </a:extLst>
        </xdr:cNvPr>
        <xdr:cNvSpPr/>
      </xdr:nvSpPr>
      <xdr:spPr>
        <a:xfrm>
          <a:off x="250030" y="523874"/>
          <a:ext cx="1285875" cy="136921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83344</xdr:colOff>
      <xdr:row>12</xdr:row>
      <xdr:rowOff>130970</xdr:rowOff>
    </xdr:from>
    <xdr:to>
      <xdr:col>2</xdr:col>
      <xdr:colOff>511967</xdr:colOff>
      <xdr:row>15</xdr:row>
      <xdr:rowOff>35720</xdr:rowOff>
    </xdr:to>
    <xdr:sp macro="" textlink="">
      <xdr:nvSpPr>
        <xdr:cNvPr id="48" name="Rectangle: Rounded Corners 47">
          <a:hlinkClick xmlns:r="http://schemas.openxmlformats.org/officeDocument/2006/relationships" r:id="rId19"/>
          <a:extLst>
            <a:ext uri="{FF2B5EF4-FFF2-40B4-BE49-F238E27FC236}">
              <a16:creationId xmlns:a16="http://schemas.microsoft.com/office/drawing/2014/main" id="{1F843855-D8D1-4ED8-9A6A-E5BA54EB5275}"/>
            </a:ext>
          </a:extLst>
        </xdr:cNvPr>
        <xdr:cNvSpPr/>
      </xdr:nvSpPr>
      <xdr:spPr>
        <a:xfrm>
          <a:off x="83344" y="2416970"/>
          <a:ext cx="1643061" cy="476250"/>
        </a:xfrm>
        <a:prstGeom prst="roundRect">
          <a:avLst/>
        </a:prstGeom>
        <a:solidFill>
          <a:schemeClr val="tx2">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600" b="1"/>
            <a:t>       Dashboard</a:t>
          </a:r>
        </a:p>
      </xdr:txBody>
    </xdr:sp>
    <xdr:clientData/>
  </xdr:twoCellAnchor>
  <xdr:twoCellAnchor>
    <xdr:from>
      <xdr:col>0</xdr:col>
      <xdr:colOff>95251</xdr:colOff>
      <xdr:row>20</xdr:row>
      <xdr:rowOff>119062</xdr:rowOff>
    </xdr:from>
    <xdr:to>
      <xdr:col>2</xdr:col>
      <xdr:colOff>523875</xdr:colOff>
      <xdr:row>23</xdr:row>
      <xdr:rowOff>47624</xdr:rowOff>
    </xdr:to>
    <xdr:sp macro="" textlink="">
      <xdr:nvSpPr>
        <xdr:cNvPr id="49" name="Rectangle: Rounded Corners 48">
          <a:hlinkClick xmlns:r="http://schemas.openxmlformats.org/officeDocument/2006/relationships" r:id="rId20"/>
          <a:extLst>
            <a:ext uri="{FF2B5EF4-FFF2-40B4-BE49-F238E27FC236}">
              <a16:creationId xmlns:a16="http://schemas.microsoft.com/office/drawing/2014/main" id="{54AA036B-8EC5-4782-BC0B-7DE7AA0A532D}"/>
            </a:ext>
          </a:extLst>
        </xdr:cNvPr>
        <xdr:cNvSpPr/>
      </xdr:nvSpPr>
      <xdr:spPr>
        <a:xfrm>
          <a:off x="95251" y="3929062"/>
          <a:ext cx="1643062" cy="50006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   Data</a:t>
          </a:r>
        </a:p>
      </xdr:txBody>
    </xdr:sp>
    <xdr:clientData/>
  </xdr:twoCellAnchor>
  <xdr:twoCellAnchor>
    <xdr:from>
      <xdr:col>0</xdr:col>
      <xdr:colOff>83344</xdr:colOff>
      <xdr:row>16</xdr:row>
      <xdr:rowOff>116680</xdr:rowOff>
    </xdr:from>
    <xdr:to>
      <xdr:col>2</xdr:col>
      <xdr:colOff>511968</xdr:colOff>
      <xdr:row>19</xdr:row>
      <xdr:rowOff>45242</xdr:rowOff>
    </xdr:to>
    <xdr:sp macro="" textlink="">
      <xdr:nvSpPr>
        <xdr:cNvPr id="50" name="Rectangle: Rounded Corners 49">
          <a:hlinkClick xmlns:r="http://schemas.openxmlformats.org/officeDocument/2006/relationships" r:id="rId21"/>
          <a:extLst>
            <a:ext uri="{FF2B5EF4-FFF2-40B4-BE49-F238E27FC236}">
              <a16:creationId xmlns:a16="http://schemas.microsoft.com/office/drawing/2014/main" id="{C2BB1178-C796-4A20-8BB5-DB22EBCA3388}"/>
            </a:ext>
          </a:extLst>
        </xdr:cNvPr>
        <xdr:cNvSpPr/>
      </xdr:nvSpPr>
      <xdr:spPr>
        <a:xfrm>
          <a:off x="83344" y="3164680"/>
          <a:ext cx="1643062" cy="50006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     Analytics</a:t>
          </a:r>
        </a:p>
      </xdr:txBody>
    </xdr:sp>
    <xdr:clientData/>
  </xdr:twoCellAnchor>
  <xdr:twoCellAnchor editAs="oneCell">
    <xdr:from>
      <xdr:col>0</xdr:col>
      <xdr:colOff>83343</xdr:colOff>
      <xdr:row>12</xdr:row>
      <xdr:rowOff>130969</xdr:rowOff>
    </xdr:from>
    <xdr:to>
      <xdr:col>0</xdr:col>
      <xdr:colOff>585477</xdr:colOff>
      <xdr:row>15</xdr:row>
      <xdr:rowOff>35719</xdr:rowOff>
    </xdr:to>
    <xdr:pic>
      <xdr:nvPicPr>
        <xdr:cNvPr id="53" name="Graphic 52" descr="Presentation with bar chart RTL">
          <a:extLst>
            <a:ext uri="{FF2B5EF4-FFF2-40B4-BE49-F238E27FC236}">
              <a16:creationId xmlns:a16="http://schemas.microsoft.com/office/drawing/2014/main" id="{09348C7E-241A-4CB8-A2DF-7807438315EF}"/>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83343" y="2416969"/>
          <a:ext cx="502134" cy="476250"/>
        </a:xfrm>
        <a:prstGeom prst="rect">
          <a:avLst/>
        </a:prstGeom>
      </xdr:spPr>
    </xdr:pic>
    <xdr:clientData/>
  </xdr:twoCellAnchor>
  <xdr:twoCellAnchor editAs="oneCell">
    <xdr:from>
      <xdr:col>0</xdr:col>
      <xdr:colOff>119062</xdr:colOff>
      <xdr:row>16</xdr:row>
      <xdr:rowOff>166688</xdr:rowOff>
    </xdr:from>
    <xdr:to>
      <xdr:col>0</xdr:col>
      <xdr:colOff>547686</xdr:colOff>
      <xdr:row>19</xdr:row>
      <xdr:rowOff>23812</xdr:rowOff>
    </xdr:to>
    <xdr:pic>
      <xdr:nvPicPr>
        <xdr:cNvPr id="55" name="Graphic 54" descr="Research">
          <a:extLst>
            <a:ext uri="{FF2B5EF4-FFF2-40B4-BE49-F238E27FC236}">
              <a16:creationId xmlns:a16="http://schemas.microsoft.com/office/drawing/2014/main" id="{4DCCE68C-57A0-4E96-BBFE-F78B4150892C}"/>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19062" y="3214688"/>
          <a:ext cx="428624" cy="428624"/>
        </a:xfrm>
        <a:prstGeom prst="rect">
          <a:avLst/>
        </a:prstGeom>
      </xdr:spPr>
    </xdr:pic>
    <xdr:clientData/>
  </xdr:twoCellAnchor>
  <xdr:twoCellAnchor editAs="oneCell">
    <xdr:from>
      <xdr:col>0</xdr:col>
      <xdr:colOff>154783</xdr:colOff>
      <xdr:row>20</xdr:row>
      <xdr:rowOff>178595</xdr:rowOff>
    </xdr:from>
    <xdr:to>
      <xdr:col>0</xdr:col>
      <xdr:colOff>559595</xdr:colOff>
      <xdr:row>23</xdr:row>
      <xdr:rowOff>11907</xdr:rowOff>
    </xdr:to>
    <xdr:pic>
      <xdr:nvPicPr>
        <xdr:cNvPr id="61" name="Graphic 60" descr="Database">
          <a:extLst>
            <a:ext uri="{FF2B5EF4-FFF2-40B4-BE49-F238E27FC236}">
              <a16:creationId xmlns:a16="http://schemas.microsoft.com/office/drawing/2014/main" id="{549FA7F3-B199-4403-AD3C-532DDA21260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154783" y="3988595"/>
          <a:ext cx="404812" cy="404812"/>
        </a:xfrm>
        <a:prstGeom prst="rect">
          <a:avLst/>
        </a:prstGeom>
      </xdr:spPr>
    </xdr:pic>
    <xdr:clientData/>
  </xdr:twoCellAnchor>
  <xdr:twoCellAnchor editAs="oneCell">
    <xdr:from>
      <xdr:col>0</xdr:col>
      <xdr:colOff>404813</xdr:colOff>
      <xdr:row>3</xdr:row>
      <xdr:rowOff>166686</xdr:rowOff>
    </xdr:from>
    <xdr:to>
      <xdr:col>2</xdr:col>
      <xdr:colOff>130969</xdr:colOff>
      <xdr:row>8</xdr:row>
      <xdr:rowOff>178593</xdr:rowOff>
    </xdr:to>
    <xdr:pic>
      <xdr:nvPicPr>
        <xdr:cNvPr id="65" name="Picture 64">
          <a:extLst>
            <a:ext uri="{FF2B5EF4-FFF2-40B4-BE49-F238E27FC236}">
              <a16:creationId xmlns:a16="http://schemas.microsoft.com/office/drawing/2014/main" id="{81E71667-6E34-4E02-AFA4-56EA2DEFCA09}"/>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404813" y="738186"/>
          <a:ext cx="940594" cy="964407"/>
        </a:xfrm>
        <a:prstGeom prst="rect">
          <a:avLst/>
        </a:prstGeom>
      </xdr:spPr>
    </xdr:pic>
    <xdr:clientData/>
  </xdr:twoCellAnchor>
  <xdr:oneCellAnchor>
    <xdr:from>
      <xdr:col>18</xdr:col>
      <xdr:colOff>309561</xdr:colOff>
      <xdr:row>25</xdr:row>
      <xdr:rowOff>73658</xdr:rowOff>
    </xdr:from>
    <xdr:ext cx="3893346" cy="233205"/>
    <xdr:sp macro="" textlink="">
      <xdr:nvSpPr>
        <xdr:cNvPr id="66" name="TextBox 65">
          <a:extLst>
            <a:ext uri="{FF2B5EF4-FFF2-40B4-BE49-F238E27FC236}">
              <a16:creationId xmlns:a16="http://schemas.microsoft.com/office/drawing/2014/main" id="{A4B20827-509B-4F12-B6A6-F0446D4F94B8}"/>
            </a:ext>
          </a:extLst>
        </xdr:cNvPr>
        <xdr:cNvSpPr txBox="1"/>
      </xdr:nvSpPr>
      <xdr:spPr>
        <a:xfrm>
          <a:off x="11239499" y="4836158"/>
          <a:ext cx="389334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16</xdr:col>
      <xdr:colOff>152401</xdr:colOff>
      <xdr:row>1</xdr:row>
      <xdr:rowOff>9524</xdr:rowOff>
    </xdr:from>
    <xdr:to>
      <xdr:col>17</xdr:col>
      <xdr:colOff>152401</xdr:colOff>
      <xdr:row>3</xdr:row>
      <xdr:rowOff>57149</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D9737CB6-0ECE-4071-B353-451584F768A0}"/>
            </a:ext>
          </a:extLst>
        </xdr:cNvPr>
        <xdr:cNvSpPr/>
      </xdr:nvSpPr>
      <xdr:spPr>
        <a:xfrm>
          <a:off x="11896726" y="200024"/>
          <a:ext cx="609600" cy="428625"/>
        </a:xfrm>
        <a:prstGeom prst="leftArrow">
          <a:avLst>
            <a:gd name="adj1" fmla="val 50000"/>
            <a:gd name="adj2" fmla="val 3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296296" backgroundQuery="1" createdVersion="7" refreshedVersion="7" minRefreshableVersion="3" recordCount="0" supportSubquery="1" supportAdvancedDrill="1" xr:uid="{35CB9369-BC8C-4380-A96A-2AE49264A00E}">
  <cacheSource type="external" connectionId="1"/>
  <cacheFields count="1">
    <cacheField name="[Range].[Category].[Category]" caption="Category" numFmtId="0" hierarchy="4" level="1">
      <sharedItems count="2">
        <s v="Accessories"/>
        <s v="Electronics"/>
      </sharedItems>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3310183" backgroundQuery="1" createdVersion="7" refreshedVersion="7" minRefreshableVersion="3" recordCount="0" supportSubquery="1" supportAdvancedDrill="1" xr:uid="{9BD235B1-11F1-4CFF-9046-3B8C79627E2E}">
  <cacheSource type="external" connectionId="1"/>
  <cacheFields count="2">
    <cacheField name="[Range].[Region].[Region]" caption="Region" numFmtId="0" hierarchy="5" level="1">
      <sharedItems count="5">
        <s v="East"/>
        <s v="North"/>
        <s v="South"/>
        <s v="Unknown"/>
        <s v="West"/>
      </sharedItems>
    </cacheField>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3773145" backgroundQuery="1" createdVersion="7" refreshedVersion="7" minRefreshableVersion="3" recordCount="0" supportSubquery="1" supportAdvancedDrill="1" xr:uid="{97DF61F6-CEB0-40DA-ABFA-732792D20F9B}">
  <cacheSource type="external" connectionId="1"/>
  <cacheFields count="2">
    <cacheField name="[Range].[Product].[Product]" caption="Product" numFmtId="0" hierarchy="3" level="1">
      <sharedItems count="5">
        <s v="Headset"/>
        <s v="Keyboard"/>
        <s v="Laptop"/>
        <s v="Monitor"/>
        <s v="Mouse"/>
      </sharedItems>
    </cacheField>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4236114" backgroundQuery="1" createdVersion="7" refreshedVersion="7" minRefreshableVersion="3" recordCount="0" supportSubquery="1" supportAdvancedDrill="1" xr:uid="{6CEF9B00-FDBC-4FCE-85E9-693C4A1DC6DE}">
  <cacheSource type="external" connectionId="1"/>
  <cacheFields count="2">
    <cacheField name="[Range].[Payment_Mode].[Payment_Mode]" caption="Payment_Mode" numFmtId="0" hierarchy="9" level="1">
      <sharedItems count="4">
        <s v="Card"/>
        <s v="Cash"/>
        <s v="Net Banking"/>
        <s v="UPI"/>
      </sharedItems>
    </cacheField>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458333" backgroundQuery="1" createdVersion="7" refreshedVersion="7" minRefreshableVersion="3" recordCount="0" supportSubquery="1" supportAdvancedDrill="1" xr:uid="{460B85F4-2665-4897-9FA0-2AF7C29733D9}">
  <cacheSource type="external" connectionId="1"/>
  <cacheFields count="2">
    <cacheField name="[Range].[Month].[Month]" caption="Month" numFmtId="0" hierarchy="13" level="1">
      <sharedItems count="6">
        <s v="Apr"/>
        <s v="Feb"/>
        <s v="Jan"/>
        <s v="Jun"/>
        <s v="Mar"/>
        <s v="May"/>
      </sharedItems>
    </cacheField>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2" memberValueDatatype="20" unbalanced="0"/>
    <cacheHierarchy uniqueName="[Range].[Profit_margin_%]" caption="Profit_margin_%" attribute="1" defaultMemberUniqueName="[Range].[Profit_margin_%].[All]" allUniqueName="[Range].[Profit_margin_%].[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5162038" backgroundQuery="1" createdVersion="7" refreshedVersion="7" minRefreshableVersion="3" recordCount="0" supportSubquery="1" supportAdvancedDrill="1" xr:uid="{6E817F44-A86E-41FD-B5C1-D38060297073}">
  <cacheSource type="external" connectionId="1"/>
  <cacheFields count="3">
    <cacheField name="[Range].[Month].[Month]" caption="Month" numFmtId="0" hierarchy="13" level="1">
      <sharedItems count="6">
        <s v="Apr"/>
        <s v="Feb"/>
        <s v="Jan"/>
        <s v="Jun"/>
        <s v="Mar"/>
        <s v="May"/>
      </sharedItems>
    </cacheField>
    <cacheField name="[Measures].[Sum of Sales]" caption="Sum of Sales" numFmtId="0" hierarchy="20"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5856485" backgroundQuery="1" createdVersion="7" refreshedVersion="7" minRefreshableVersion="3" recordCount="0" supportSubquery="1" supportAdvancedDrill="1" xr:uid="{43871D9B-38B0-4600-90EB-9D9F5285FD61}">
  <cacheSource type="external" connectionId="1"/>
  <cacheFields count="3">
    <cacheField name="[Range].[Month].[Month]" caption="Month" numFmtId="0" hierarchy="13" level="1">
      <sharedItems count="6">
        <s v="Apr"/>
        <s v="Feb"/>
        <s v="Jan"/>
        <s v="Jun"/>
        <s v="Mar"/>
        <s v="May"/>
      </sharedItems>
    </cacheField>
    <cacheField name="[Measures].[Sum of Profit]" caption="Sum of Profit" numFmtId="0" hierarchy="22"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666667" backgroundQuery="1" createdVersion="7" refreshedVersion="7" minRefreshableVersion="3" recordCount="0" supportSubquery="1" supportAdvancedDrill="1" xr:uid="{8263EECA-9656-499B-9FC1-42B58670D4DB}">
  <cacheSource type="external" connectionId="1"/>
  <cacheFields count="3">
    <cacheField name="[Range].[Month].[Month]" caption="Month" numFmtId="0" hierarchy="13" level="1">
      <sharedItems count="6">
        <s v="Apr"/>
        <s v="Feb"/>
        <s v="Jan"/>
        <s v="Jun"/>
        <s v="Mar"/>
        <s v="May"/>
      </sharedItems>
    </cacheField>
    <cacheField name="[Range].[Category].[Category]" caption="Category" numFmtId="0" hierarchy="4" level="1">
      <sharedItems count="2">
        <s v="Accessories"/>
        <s v="Electronics"/>
      </sharedItems>
    </cacheField>
    <cacheField name="[Measures].[Sum of Sales]" caption="Sum of Sales" numFmtId="0" hierarchy="20" level="32767"/>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724537" backgroundQuery="1" createdVersion="7" refreshedVersion="7" minRefreshableVersion="3" recordCount="0" supportSubquery="1" supportAdvancedDrill="1" xr:uid="{7CFEDF78-9720-4CC7-BFC1-BDB112E5A487}">
  <cacheSource type="external" connectionId="1"/>
  <cacheFields count="4">
    <cacheField name="[Range].[Month].[Month]" caption="Month" numFmtId="0" hierarchy="13" level="1">
      <sharedItems count="6">
        <s v="Apr"/>
        <s v="Feb"/>
        <s v="Jan"/>
        <s v="Jun"/>
        <s v="Mar"/>
        <s v="May"/>
      </sharedItems>
    </cacheField>
    <cacheField name="[Range].[Region].[Region]" caption="Region" numFmtId="0" hierarchy="5" level="1">
      <sharedItems count="5">
        <s v="East"/>
        <s v="North"/>
        <s v="South"/>
        <s v="Unknown"/>
        <s v="West"/>
      </sharedItems>
    </cacheField>
    <cacheField name="[Measures].[Sum of Profit]" caption="Sum of Profit" numFmtId="0" hierarchy="22"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7939817" backgroundQuery="1" createdVersion="7" refreshedVersion="7" minRefreshableVersion="3" recordCount="0" supportSubquery="1" supportAdvancedDrill="1" xr:uid="{8CA9FFCB-C266-4384-A8D5-501DD06CCA19}">
  <cacheSource type="external" connectionId="1"/>
  <cacheFields count="4">
    <cacheField name="[Range].[Month].[Month]" caption="Month" numFmtId="0" hierarchy="13" level="1">
      <sharedItems count="6">
        <s v="Apr"/>
        <s v="Feb"/>
        <s v="Jan"/>
        <s v="Jun"/>
        <s v="Mar"/>
        <s v="May"/>
      </sharedItems>
    </cacheField>
    <cacheField name="[Range].[Product].[Product]" caption="Product" numFmtId="0" hierarchy="3" level="1">
      <sharedItems count="5">
        <s v="Headset"/>
        <s v="Keyboard"/>
        <s v="Laptop"/>
        <s v="Monitor"/>
        <s v="Mouse"/>
      </sharedItems>
    </cacheField>
    <cacheField name="[Measures].[Sum of Quantity]" caption="Sum of Quantity" numFmtId="0" hierarchy="27"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8518517" backgroundQuery="1" createdVersion="7" refreshedVersion="7" minRefreshableVersion="3" recordCount="0" supportSubquery="1" supportAdvancedDrill="1" xr:uid="{BD6BDEB5-2B61-44AA-AB8D-99AAE68E8450}">
  <cacheSource type="external" connectionId="1"/>
  <cacheFields count="4">
    <cacheField name="[Range].[Month].[Month]" caption="Month" numFmtId="0" hierarchy="13" level="1">
      <sharedItems count="6">
        <s v="Apr"/>
        <s v="Feb"/>
        <s v="Jan"/>
        <s v="Jun"/>
        <s v="Mar"/>
        <s v="May"/>
      </sharedItems>
    </cacheField>
    <cacheField name="[Range].[Payment_Mode].[Payment_Mode]" caption="Payment_Mode" numFmtId="0" hierarchy="9" level="1">
      <sharedItems count="4">
        <s v="Card"/>
        <s v="Cash"/>
        <s v="Net Banking"/>
        <s v="UPI"/>
      </sharedItems>
    </cacheField>
    <cacheField name="[Measures].[Sum of Sales]" caption="Sum of Sales" numFmtId="0" hierarchy="20"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8750002" backgroundQuery="1" createdVersion="7" refreshedVersion="7" minRefreshableVersion="3" recordCount="0" supportSubquery="1" supportAdvancedDrill="1" xr:uid="{CC7EF25F-BAB7-453E-B472-7436D004E7BF}">
  <cacheSource type="external" connectionId="1"/>
  <cacheFields count="2">
    <cacheField name="[Measures].[Sum of Sales]" caption="Sum of Sales" numFmtId="0" hierarchy="20"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8981479" backgroundQuery="1" createdVersion="7" refreshedVersion="7" minRefreshableVersion="3" recordCount="0" supportSubquery="1" supportAdvancedDrill="1" xr:uid="{659DF1A3-DC1A-4132-8B4D-C66EFFE20942}">
  <cacheSource type="external" connectionId="1"/>
  <cacheFields count="2">
    <cacheField name="[Measures].[Sum of Cost]" caption="Sum of Cost" numFmtId="0" hierarchy="21"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9097225" backgroundQuery="1" createdVersion="7" refreshedVersion="7" minRefreshableVersion="3" recordCount="0" supportSubquery="1" supportAdvancedDrill="1" xr:uid="{4A875712-0F58-4CBA-A8D6-BBFF80CBE1AF}">
  <cacheSource type="external" connectionId="1"/>
  <cacheFields count="2">
    <cacheField name="[Measures].[Sum of Profit]" caption="Sum of Profit" numFmtId="0" hierarchy="22"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9212964" backgroundQuery="1" createdVersion="7" refreshedVersion="7" minRefreshableVersion="3" recordCount="0" supportSubquery="1" supportAdvancedDrill="1" xr:uid="{B674EB7B-B840-4518-8A49-C3AC8F0C705A}">
  <cacheSource type="external" connectionId="1"/>
  <cacheFields count="2">
    <cacheField name="[Measures].[Sum of Profit_margin_%]" caption="Sum of Profit_margin_%" numFmtId="0" hierarchy="23"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9444441" backgroundQuery="1" createdVersion="7" refreshedVersion="7" minRefreshableVersion="3" recordCount="0" supportSubquery="1" supportAdvancedDrill="1" xr:uid="{652F1DFE-0B43-447C-99EA-F2A75514C437}">
  <cacheSource type="external" connectionId="1"/>
  <cacheFields count="2">
    <cacheField name="[Measures].[Count of Order_ID]" caption="Count of Order_ID" numFmtId="0" hierarchy="24"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49569560187" backgroundQuery="1" createdVersion="7" refreshedVersion="7" minRefreshableVersion="3" recordCount="0" supportSubquery="1" supportAdvancedDrill="1" xr:uid="{AF329121-6A42-455D-B686-E1AC91E7FBCB}">
  <cacheSource type="external" connectionId="1"/>
  <cacheFields count="2">
    <cacheField name="[Measures].[Sum of Quantity]" caption="Sum of Quantity" numFmtId="0" hierarchy="27" level="32767"/>
    <cacheField name="[Range].[Category].[Category]" caption="Category" numFmtId="0" hierarchy="4"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4.461444791668" backgroundQuery="1" createdVersion="3" refreshedVersion="7" minRefreshableVersion="3" recordCount="0" supportSubquery="1" supportAdvancedDrill="1" xr:uid="{2924D1CF-ED9E-4729-90F4-B39816661576}">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_margin_%]" caption="Sum of Profit_margin_%" measure="1" displayFolder="" measureGroup="Rang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0"/>
        </ext>
      </extLst>
    </cacheHierarchy>
    <cacheHierarchy uniqueName="[Measures].[Average of Profit_margin_%]" caption="Average of Profit_margin_%" measure="1" displayFolder="" measureGroup="Rang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104004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02E75-FE7F-4AEA-9F4B-27A4E648C378}" name="PivotTable15"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T3:U9" firstHeaderRow="1" firstDataRow="1" firstDataCol="1"/>
  <pivotFields count="4">
    <pivotField allDrilled="1" subtotalTop="0" showAll="0" sortType="ascending" defaultSubtotal="0" defaultAttributeDrillState="1">
      <items count="6">
        <item x="2"/>
        <item x="1"/>
        <item x="4"/>
        <item x="0"/>
        <item x="5"/>
        <item x="3"/>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v="2"/>
    </i>
    <i>
      <x/>
    </i>
    <i>
      <x v="1"/>
    </i>
    <i>
      <x v="3"/>
    </i>
    <i t="grand">
      <x/>
    </i>
  </rowItems>
  <colItems count="1">
    <i/>
  </colItems>
  <dataFields count="1">
    <dataField name="Sum of Profit" fld="2" baseField="0" baseItem="0"/>
  </dataFields>
  <formats count="1">
    <format dxfId="0">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4464D-7990-49DA-8C54-52F306E2F818}" name="PivotTable3"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AAFA4-4868-49E9-86E6-1B0C92C3C915}" name="PivotTable9"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18:C24" firstHeaderRow="1" firstDataRow="1" firstDataCol="1"/>
  <pivotFields count="2">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3CC130-F4FB-4FEE-A0EC-1CEBE2167E4D}" name="PivotTable11"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5:C42" firstHeaderRow="1" firstDataRow="1" firstDataCol="1"/>
  <pivotFields count="2">
    <pivotField axis="axisRow" allDrilled="1" subtotalTop="0" showAll="0" nonAutoSortDefault="1" defaultSubtotal="0" defaultAttributeDrillState="1">
      <items count="6">
        <item x="2"/>
        <item x="0"/>
        <item x="1"/>
        <item x="3"/>
        <item x="4"/>
        <item x="5"/>
      </items>
    </pivotField>
    <pivotField allDrilled="1" subtotalTop="0" showAll="0" dataSourceSort="1" defaultSubtotal="0" defaultAttributeDrillState="1"/>
  </pivotFields>
  <rowFields count="1">
    <field x="0"/>
  </rowFields>
  <rowItems count="7">
    <i>
      <x/>
    </i>
    <i>
      <x v="1"/>
    </i>
    <i>
      <x v="2"/>
    </i>
    <i>
      <x v="3"/>
    </i>
    <i>
      <x v="4"/>
    </i>
    <i>
      <x v="5"/>
    </i>
    <i t="grand">
      <x/>
    </i>
  </rowItem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15923-1A8B-477A-AAF4-C753A3010993}" name="PivotTable7"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6"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D506CB-F826-400F-9656-53154571F224}" name="PivotTable14"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P3:Q6" firstHeaderRow="1" firstDataRow="1" firstDataCol="1"/>
  <pivotFields count="3">
    <pivotField allDrilled="1" subtotalTop="0" showAll="0" sortType="ascending" defaultSubtotal="0" defaultAttributeDrillState="1">
      <items count="6">
        <item x="2"/>
        <item x="1"/>
        <item x="4"/>
        <item x="0"/>
        <item x="5"/>
        <item x="3"/>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Sum of Sales" fld="2" baseField="0" baseItem="0"/>
  </dataFields>
  <formats count="1">
    <format dxfId="1">
      <pivotArea outline="0" collapsedLevelsAreSubtotals="1" fieldPosition="0"/>
    </format>
  </format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FE4F6-491E-476F-B81F-E950196131BE}" name="PivotTable1"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CAB12-14F2-4367-AF2A-53C4278DE61A}" name="PivotTable8"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9:C15" firstHeaderRow="1" firstDataRow="1" firstDataCol="1"/>
  <pivotFields count="2">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0C44EF-CA5E-4E31-9937-055602B268D3}" name="PivotTable13"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M3:N10"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dataFields>
  <formats count="1">
    <format dxfId="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53DE1D-D836-4BF7-AF2C-53467D2AB3E4}" name="PivotTable4"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_margin_%" fld="0"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Profit_margin_%"/>
    <pivotHierarchy dragToData="1"/>
    <pivotHierarchy dragToData="1"/>
    <pivotHierarchy dragToData="1" caption="Average of Profit_margin_%"/>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247470-1B65-4B16-909C-0DA018899D33}" name="PivotTable12"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I3:J10"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dataFields>
  <formats count="1">
    <format dxfId="3">
      <pivotArea outline="0" collapsedLevelsAreSubtotals="1" fieldPosition="0"/>
    </format>
  </formats>
  <chartFormats count="7">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954780-9FD3-4C32-A6A7-2D465B55A4CB}" name="PivotTable17"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D3:AE8" firstHeaderRow="1" firstDataRow="1" firstDataCol="1"/>
  <pivotFields count="4">
    <pivotField allDrilled="1" subtotalTop="0" showAll="0" sortType="ascending" defaultSubtotal="0" defaultAttributeDrillState="1">
      <items count="6">
        <item x="2"/>
        <item x="1"/>
        <item x="4"/>
        <item x="0"/>
        <item x="5"/>
        <item x="3"/>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v="3"/>
    </i>
    <i>
      <x v="1"/>
    </i>
    <i>
      <x/>
    </i>
    <i t="grand">
      <x/>
    </i>
  </rowItems>
  <colItems count="1">
    <i/>
  </colItems>
  <dataFields count="1">
    <dataField name="Sum of Sales" fld="2" baseField="0" baseItem="0"/>
  </dataFields>
  <formats count="1">
    <format dxfId="4">
      <pivotArea outline="0" collapsedLevelsAreSubtotals="1" fieldPosition="0"/>
    </format>
  </format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2"/>
          </reference>
        </references>
      </pivotArea>
    </chartFormat>
    <chartFormat chart="14" format="8">
      <pivotArea type="data" outline="0" fieldPosition="0">
        <references count="2">
          <reference field="4294967294" count="1" selected="0">
            <x v="0"/>
          </reference>
          <reference field="1" count="1" selected="0">
            <x v="3"/>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30750F-65BB-4463-9925-1A8830FE0525}" name="PivotTable10"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27:C32"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CCD993-03BE-4D10-BE7A-15E9AEC761EE}" name="PivotTable16"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X3:Y9" firstHeaderRow="1" firstDataRow="1" firstDataCol="1"/>
  <pivotFields count="4">
    <pivotField allDrilled="1" subtotalTop="0" showAll="0" sortType="ascending" defaultSubtotal="0" defaultAttributeDrillState="1">
      <items count="6">
        <item x="2"/>
        <item x="1"/>
        <item x="4"/>
        <item x="0"/>
        <item x="5"/>
        <item x="3"/>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3"/>
    </i>
    <i>
      <x v="4"/>
    </i>
    <i>
      <x/>
    </i>
    <i>
      <x v="1"/>
    </i>
    <i>
      <x v="2"/>
    </i>
    <i t="grand">
      <x/>
    </i>
  </rowItems>
  <colItems count="1">
    <i/>
  </colItems>
  <dataFields count="1">
    <dataField name="Sum of Quantity" fld="2" baseField="0" baseItem="0"/>
  </dataFields>
  <formats count="1">
    <format dxfId="5">
      <pivotArea outline="0" collapsedLevelsAreSubtotals="1" fieldPosition="0"/>
    </format>
  </formats>
  <chartFormats count="6">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1" count="1" selected="0">
            <x v="3"/>
          </reference>
        </references>
      </pivotArea>
    </chartFormat>
    <chartFormat chart="17" format="11">
      <pivotArea type="data" outline="0" fieldPosition="0">
        <references count="2">
          <reference field="4294967294" count="1" selected="0">
            <x v="0"/>
          </reference>
          <reference field="1" count="1" selected="0">
            <x v="4"/>
          </reference>
        </references>
      </pivotArea>
    </chartFormat>
    <chartFormat chart="17" format="12">
      <pivotArea type="data" outline="0" fieldPosition="0">
        <references count="2">
          <reference field="4294967294" count="1" selected="0">
            <x v="0"/>
          </reference>
          <reference field="1" count="1" selected="0">
            <x v="0"/>
          </reference>
        </references>
      </pivotArea>
    </chartFormat>
    <chartFormat chart="17" format="13">
      <pivotArea type="data" outline="0" fieldPosition="0">
        <references count="2">
          <reference field="4294967294" count="1" selected="0">
            <x v="0"/>
          </reference>
          <reference field="1" count="1" selected="0">
            <x v="1"/>
          </reference>
        </references>
      </pivotArea>
    </chartFormat>
    <chartFormat chart="17" format="14">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091C40-BCF1-4E4C-845F-9B5D2974B5B8}" name="PivotTable5"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683096-3C82-4DF8-A167-F685E5DAAC26}" name="PivotTable6"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2:A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559C98-3785-4484-A0E2-0ABD57B8C271}" name="PivotTable2"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fld="0" baseField="0" baseItem="0"/>
  </dataField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0E1614-4872-44A2-870E-DDBE992E3153}" sourceName="[Range].[Category]">
  <pivotTables>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
    <pivotTable tabId="2" name="PivotTable2"/>
    <pivotTable tabId="2" name="PivotTable3"/>
    <pivotTable tabId="2" name="PivotTable4"/>
    <pivotTable tabId="2" name="PivotTable5"/>
    <pivotTable tabId="2" name="PivotTable6"/>
  </pivotTables>
  <data>
    <olap pivotCacheId="2010400487">
      <levels count="2">
        <level uniqueName="[Range].[Category].[(All)]" sourceCaption="(All)" count="0"/>
        <level uniqueName="[Range].[Category].[Category]" sourceCaption="Category" count="2">
          <ranges>
            <range startItem="0">
              <i n="[Range].[Category].&amp;[Accessories]" c="Accessories"/>
              <i n="[Range].[Category].&amp;[Electronics]" c="Electronics"/>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4EB3DC-231E-44B1-A9F6-38FF7224649A}" sourceName="[Range].[Region]">
  <pivotTables>
    <pivotTable tabId="2" name="PivotTable8"/>
    <pivotTable tabId="2" name="PivotTable9"/>
    <pivotTable tabId="2" name="PivotTable10"/>
    <pivotTable tabId="2" name="PivotTable11"/>
    <pivotTable tabId="2" name="PivotTable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s>
  <data>
    <olap pivotCacheId="2010400487">
      <levels count="2">
        <level uniqueName="[Range].[Region].[(All)]" sourceCaption="(All)" count="0"/>
        <level uniqueName="[Range].[Region].[Region]" sourceCaption="Region" count="5">
          <ranges>
            <range startItem="0">
              <i n="[Range].[Region].&amp;[East]" c="East"/>
              <i n="[Range].[Region].&amp;[North]" c="North"/>
              <i n="[Range].[Region].&amp;[South]" c="South"/>
              <i n="[Range].[Region].&amp;[Unknown]" c="Unknown"/>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F786E9E-E823-413D-94A3-5BC73FAE036F}" sourceName="[Range].[Product]">
  <pivotTables>
    <pivotTable tabId="2" name="PivotTable9"/>
    <pivotTable tabId="2" name="PivotTable10"/>
    <pivotTable tabId="2" name="PivotTable11"/>
    <pivotTable tabId="2" name="PivotTable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s>
  <data>
    <olap pivotCacheId="2010400487">
      <levels count="2">
        <level uniqueName="[Range].[Product].[(All)]" sourceCaption="(All)" count="0"/>
        <level uniqueName="[Range].[Product].[Product]" sourceCaption="Product" count="5">
          <ranges>
            <range startItem="0">
              <i n="[Range].[Product].&amp;[Headset]" c="Headset"/>
              <i n="[Range].[Product].&amp;[Keyboard]" c="Keyboard"/>
              <i n="[Range].[Product].&amp;[Laptop]" c="Laptop"/>
              <i n="[Range].[Product].&amp;[Monitor]" c="Monitor"/>
              <i n="[Range].[Product].&amp;[Mouse]" c="Mouse"/>
            </range>
          </ranges>
        </level>
      </levels>
      <selections count="1">
        <selection n="[Range].[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CEB7879-E3D2-42C5-9031-2D805AAA58C0}" sourceName="[Range].[Payment_Mode]">
  <pivotTables>
    <pivotTable tabId="2" name="PivotTable10"/>
    <pivotTable tabId="2" name="PivotTable11"/>
    <pivotTable tabId="2" name="PivotTable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010400487">
      <levels count="2">
        <level uniqueName="[Range].[Payment_Mode].[(All)]" sourceCaption="(All)" count="0"/>
        <level uniqueName="[Range].[Payment_Mode].[Payment_Mode]" sourceCaption="Payment_Mode" count="4">
          <ranges>
            <range startItem="0">
              <i n="[Range].[Payment_Mode].&amp;[Card]" c="Card"/>
              <i n="[Range].[Payment_Mode].&amp;[Cash]" c="Cash"/>
              <i n="[Range].[Payment_Mode].&amp;[Net Banking]" c="Net Banking"/>
              <i n="[Range].[Payment_Mode].&amp;[UPI]" c="UPI"/>
            </range>
          </ranges>
        </level>
      </levels>
      <selections count="1">
        <selection n="[Range].[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5EA308-E155-41E8-895D-44127C4EBF4B}" sourceName="[Range].[Month]">
  <pivotTables>
    <pivotTable tabId="2" name="PivotTable11"/>
    <pivotTable tabId="2" name="PivotTable1"/>
    <pivotTable tabId="2" name="PivotTable10"/>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010400487">
      <levels count="2">
        <level uniqueName="[Range].[Month].[(All)]" sourceCaption="(All)" count="0"/>
        <level uniqueName="[Range].[Month].[Month]" sourceCaption="Month" count="6">
          <ranges>
            <range startItem="0">
              <i n="[Range].[Month].&amp;[Apr]" c="Apr"/>
              <i n="[Range].[Month].&amp;[Feb]" c="Feb"/>
              <i n="[Range].[Month].&amp;[Jan]" c="Jan"/>
              <i n="[Range].[Month].&amp;[Jun]" c="Jun"/>
              <i n="[Range].[Month].&amp;[Mar]" c="Mar"/>
              <i n="[Range].[Month].&amp;[May]" c="May"/>
            </range>
          </ranges>
        </level>
      </levels>
      <selections count="1">
        <selection n="[Rang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F9007C8-74CD-4085-967D-235D5AD94EFA}" cache="Slicer_Category" caption="Category" level="1" rowHeight="241300"/>
  <slicer name="Region" xr10:uid="{27CAFAFF-4585-4097-8A78-C6A5535C81FE}" cache="Slicer_Region" caption="Region" columnCount="3" level="1" rowHeight="241300"/>
  <slicer name="Product" xr10:uid="{191D7D8F-8029-4375-BBF2-3C513B077E84}" cache="Slicer_Product" caption="Product" columnCount="3" level="1" rowHeight="241300"/>
  <slicer name="Payment_Mode" xr10:uid="{6747F113-B548-4F58-821C-F67E56F373C0}" cache="Slicer_Payment_Mode" caption="Payment_Mode" columnCount="2" level="1" rowHeight="241300"/>
  <slicer name="Month" xr10:uid="{296E3E4F-F18C-40BB-972E-35A31C1642D6}" cache="Slicer_Month" caption="Month" columnCount="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5DC91D3-1546-403F-A177-BB4440F89808}" cache="Slicer_Category" caption="Category" level="1" rowHeight="241300"/>
  <slicer name="Region 1" xr10:uid="{8E748CC2-696F-4356-BADD-083CEC432923}" cache="Slicer_Region" caption="Region" columnCount="3" level="1" rowHeight="241300"/>
  <slicer name="Product 2" xr10:uid="{7AA123C5-C2C9-4F73-A138-AF8794EF0934}" cache="Slicer_Product" caption="Product" columnCount="3" level="1" rowHeight="241300"/>
  <slicer name="Payment_Mode 1" xr10:uid="{B20593F8-BC0F-4D7E-8984-6807FE54CF5B}" cache="Slicer_Payment_Mode" caption="Payment_Mode" columnCount="2" level="1" rowHeight="241300"/>
  <slicer name="Month 1" xr10:uid="{0A9951B3-F78E-4F36-9903-7FEEA51C5009}" cache="Slicer_Month" caption="Month" columnCount="3" level="1" rowHeight="241300"/>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D1F9-CB81-435D-AE5C-427AEAA661B4}">
  <dimension ref="A3:AE42"/>
  <sheetViews>
    <sheetView workbookViewId="0">
      <selection activeCell="B2" sqref="B2"/>
    </sheetView>
  </sheetViews>
  <sheetFormatPr defaultRowHeight="15" x14ac:dyDescent="0.25"/>
  <cols>
    <col min="1" max="1" width="15.42578125" bestFit="1" customWidth="1"/>
    <col min="2" max="2" width="17.28515625" bestFit="1" customWidth="1"/>
    <col min="3" max="3" width="13.140625" bestFit="1" customWidth="1"/>
    <col min="4" max="4" width="15.42578125" bestFit="1" customWidth="1"/>
    <col min="9" max="9" width="13.140625" bestFit="1" customWidth="1"/>
    <col min="10" max="10" width="12.140625" bestFit="1" customWidth="1"/>
    <col min="11" max="11" width="12.5703125" bestFit="1" customWidth="1"/>
    <col min="13" max="13" width="13.140625" bestFit="1" customWidth="1"/>
    <col min="14" max="15" width="12.5703125" bestFit="1" customWidth="1"/>
    <col min="16" max="16" width="13.140625" bestFit="1" customWidth="1"/>
    <col min="17" max="17" width="12.140625" bestFit="1" customWidth="1"/>
    <col min="20" max="20" width="13.140625" bestFit="1" customWidth="1"/>
    <col min="21" max="21" width="12.5703125" bestFit="1" customWidth="1"/>
    <col min="24" max="24" width="13.140625" bestFit="1" customWidth="1"/>
    <col min="25" max="25" width="15.42578125" bestFit="1" customWidth="1"/>
    <col min="26" max="27" width="12.5703125" bestFit="1" customWidth="1"/>
    <col min="30" max="30" width="13.140625" bestFit="1" customWidth="1"/>
    <col min="31" max="32" width="12.140625" bestFit="1" customWidth="1"/>
  </cols>
  <sheetData>
    <row r="3" spans="1:31" x14ac:dyDescent="0.25">
      <c r="A3" t="s">
        <v>193</v>
      </c>
      <c r="B3" t="s">
        <v>207</v>
      </c>
      <c r="C3" s="6" t="s">
        <v>199</v>
      </c>
      <c r="I3" s="6" t="s">
        <v>199</v>
      </c>
      <c r="J3" t="s">
        <v>193</v>
      </c>
      <c r="M3" s="6" t="s">
        <v>199</v>
      </c>
      <c r="N3" t="s">
        <v>195</v>
      </c>
      <c r="P3" s="6" t="s">
        <v>199</v>
      </c>
      <c r="Q3" t="s">
        <v>193</v>
      </c>
      <c r="T3" s="6" t="s">
        <v>199</v>
      </c>
      <c r="U3" t="s">
        <v>195</v>
      </c>
      <c r="X3" s="6" t="s">
        <v>199</v>
      </c>
      <c r="Y3" t="s">
        <v>198</v>
      </c>
      <c r="AD3" s="6" t="s">
        <v>199</v>
      </c>
      <c r="AE3" t="s">
        <v>193</v>
      </c>
    </row>
    <row r="4" spans="1:31" x14ac:dyDescent="0.25">
      <c r="A4">
        <v>2629364.5499999998</v>
      </c>
      <c r="B4">
        <f>GETPIVOTDATA("[Measures].[Sum of Sales]",$A$3)</f>
        <v>2629364.5499999998</v>
      </c>
      <c r="C4" s="7" t="s">
        <v>178</v>
      </c>
      <c r="I4" s="7" t="s">
        <v>201</v>
      </c>
      <c r="J4" s="8">
        <v>177447.65</v>
      </c>
      <c r="M4" s="7" t="s">
        <v>201</v>
      </c>
      <c r="N4" s="8">
        <v>54666.28</v>
      </c>
      <c r="P4" s="7" t="s">
        <v>178</v>
      </c>
      <c r="Q4" s="8">
        <v>237219.5</v>
      </c>
      <c r="T4" s="7" t="s">
        <v>181</v>
      </c>
      <c r="U4" s="8">
        <v>222648.75</v>
      </c>
      <c r="X4" s="7" t="s">
        <v>171</v>
      </c>
      <c r="Y4" s="8">
        <v>66</v>
      </c>
      <c r="AD4" s="7" t="s">
        <v>185</v>
      </c>
      <c r="AE4" s="8">
        <v>940255</v>
      </c>
    </row>
    <row r="5" spans="1:31" x14ac:dyDescent="0.25">
      <c r="C5" s="7" t="s">
        <v>177</v>
      </c>
      <c r="I5" s="7" t="s">
        <v>202</v>
      </c>
      <c r="J5" s="8">
        <v>662610.15</v>
      </c>
      <c r="M5" s="7" t="s">
        <v>202</v>
      </c>
      <c r="N5" s="8">
        <v>213652.36</v>
      </c>
      <c r="P5" s="7" t="s">
        <v>177</v>
      </c>
      <c r="Q5" s="8">
        <v>2392145.0499999998</v>
      </c>
      <c r="T5" s="7" t="s">
        <v>182</v>
      </c>
      <c r="U5" s="8">
        <v>198690.16</v>
      </c>
      <c r="X5" s="7" t="s">
        <v>174</v>
      </c>
      <c r="Y5" s="8">
        <v>52</v>
      </c>
      <c r="AD5" s="7" t="s">
        <v>184</v>
      </c>
      <c r="AE5" s="8">
        <v>859083.5</v>
      </c>
    </row>
    <row r="6" spans="1:31" x14ac:dyDescent="0.25">
      <c r="A6" t="s">
        <v>194</v>
      </c>
      <c r="B6" t="s">
        <v>208</v>
      </c>
      <c r="C6" s="7" t="s">
        <v>200</v>
      </c>
      <c r="I6" s="7" t="s">
        <v>203</v>
      </c>
      <c r="J6" s="8">
        <v>411976.65</v>
      </c>
      <c r="M6" s="7" t="s">
        <v>203</v>
      </c>
      <c r="N6" s="8">
        <v>129291.87</v>
      </c>
      <c r="P6" s="7" t="s">
        <v>200</v>
      </c>
      <c r="Q6" s="8">
        <v>2629364.5499999998</v>
      </c>
      <c r="T6" s="7" t="s">
        <v>180</v>
      </c>
      <c r="U6" s="8">
        <v>195442.48</v>
      </c>
      <c r="X6" s="7" t="s">
        <v>172</v>
      </c>
      <c r="Y6" s="8">
        <v>39</v>
      </c>
      <c r="AD6" s="7" t="s">
        <v>183</v>
      </c>
      <c r="AE6" s="8">
        <v>549002.25</v>
      </c>
    </row>
    <row r="7" spans="1:31" x14ac:dyDescent="0.25">
      <c r="A7">
        <v>1849361.03</v>
      </c>
      <c r="B7">
        <f>GETPIVOTDATA("[Measures].[Sum of Cost]",$A$6)</f>
        <v>1849361.03</v>
      </c>
      <c r="I7" s="7" t="s">
        <v>204</v>
      </c>
      <c r="J7" s="8">
        <v>496053.4</v>
      </c>
      <c r="M7" s="7" t="s">
        <v>204</v>
      </c>
      <c r="N7" s="8">
        <v>141481.59</v>
      </c>
      <c r="T7" s="7" t="s">
        <v>179</v>
      </c>
      <c r="U7" s="8">
        <v>162816.98000000001</v>
      </c>
      <c r="X7" s="7" t="s">
        <v>173</v>
      </c>
      <c r="Y7" s="8">
        <v>32</v>
      </c>
      <c r="AD7" s="7" t="s">
        <v>186</v>
      </c>
      <c r="AE7" s="8">
        <v>281023.8</v>
      </c>
    </row>
    <row r="8" spans="1:31" x14ac:dyDescent="0.25">
      <c r="I8" s="7" t="s">
        <v>205</v>
      </c>
      <c r="J8" s="8">
        <v>265665.5</v>
      </c>
      <c r="M8" s="7" t="s">
        <v>205</v>
      </c>
      <c r="N8" s="8">
        <v>72112.22</v>
      </c>
      <c r="T8" s="7" t="s">
        <v>192</v>
      </c>
      <c r="U8" s="8">
        <v>405.15</v>
      </c>
      <c r="X8" s="7" t="s">
        <v>175</v>
      </c>
      <c r="Y8" s="8">
        <v>30</v>
      </c>
      <c r="AD8" s="7" t="s">
        <v>200</v>
      </c>
      <c r="AE8" s="8">
        <v>2629364.5499999998</v>
      </c>
    </row>
    <row r="9" spans="1:31" x14ac:dyDescent="0.25">
      <c r="C9" s="6" t="s">
        <v>199</v>
      </c>
      <c r="I9" s="7" t="s">
        <v>206</v>
      </c>
      <c r="J9" s="8">
        <v>615611.19999999995</v>
      </c>
      <c r="M9" s="7" t="s">
        <v>206</v>
      </c>
      <c r="N9" s="8">
        <v>168799.2</v>
      </c>
      <c r="T9" s="7" t="s">
        <v>200</v>
      </c>
      <c r="U9" s="8">
        <v>780003.52</v>
      </c>
      <c r="X9" s="7" t="s">
        <v>200</v>
      </c>
      <c r="Y9" s="8">
        <v>219</v>
      </c>
    </row>
    <row r="10" spans="1:31" x14ac:dyDescent="0.25">
      <c r="A10" t="s">
        <v>195</v>
      </c>
      <c r="B10" t="s">
        <v>209</v>
      </c>
      <c r="C10" s="7" t="s">
        <v>180</v>
      </c>
      <c r="I10" s="7" t="s">
        <v>200</v>
      </c>
      <c r="J10" s="8">
        <v>2629364.5499999998</v>
      </c>
      <c r="M10" s="7" t="s">
        <v>200</v>
      </c>
      <c r="N10" s="8">
        <v>780003.52</v>
      </c>
    </row>
    <row r="11" spans="1:31" x14ac:dyDescent="0.25">
      <c r="A11">
        <v>780003.52</v>
      </c>
      <c r="B11">
        <f>GETPIVOTDATA("[Measures].[Sum of Profit]",$A$10)</f>
        <v>780003.52</v>
      </c>
      <c r="C11" s="7" t="s">
        <v>179</v>
      </c>
    </row>
    <row r="12" spans="1:31" x14ac:dyDescent="0.25">
      <c r="C12" s="7" t="s">
        <v>182</v>
      </c>
    </row>
    <row r="13" spans="1:31" x14ac:dyDescent="0.25">
      <c r="C13" s="7" t="s">
        <v>192</v>
      </c>
    </row>
    <row r="14" spans="1:31" x14ac:dyDescent="0.25">
      <c r="A14" t="s">
        <v>196</v>
      </c>
      <c r="B14" t="s">
        <v>210</v>
      </c>
      <c r="C14" s="7" t="s">
        <v>181</v>
      </c>
    </row>
    <row r="15" spans="1:31" x14ac:dyDescent="0.25">
      <c r="A15">
        <v>23.081071988666668</v>
      </c>
      <c r="B15">
        <f>GETPIVOTDATA("[Measures].[Sum of Profit_margin_%]",$A$14)</f>
        <v>23.081071988666668</v>
      </c>
      <c r="C15" s="7" t="s">
        <v>200</v>
      </c>
    </row>
    <row r="18" spans="1:3" x14ac:dyDescent="0.25">
      <c r="A18" t="s">
        <v>197</v>
      </c>
      <c r="B18" t="s">
        <v>211</v>
      </c>
      <c r="C18" s="6" t="s">
        <v>199</v>
      </c>
    </row>
    <row r="19" spans="1:3" x14ac:dyDescent="0.25">
      <c r="A19">
        <v>80</v>
      </c>
      <c r="B19">
        <f>GETPIVOTDATA("[Measures].[Count of Order_ID]",$A$18)</f>
        <v>80</v>
      </c>
      <c r="C19" s="7" t="s">
        <v>172</v>
      </c>
    </row>
    <row r="20" spans="1:3" x14ac:dyDescent="0.25">
      <c r="C20" s="7" t="s">
        <v>173</v>
      </c>
    </row>
    <row r="21" spans="1:3" x14ac:dyDescent="0.25">
      <c r="C21" s="7" t="s">
        <v>175</v>
      </c>
    </row>
    <row r="22" spans="1:3" x14ac:dyDescent="0.25">
      <c r="A22" t="s">
        <v>198</v>
      </c>
      <c r="B22" t="s">
        <v>212</v>
      </c>
      <c r="C22" s="7" t="s">
        <v>171</v>
      </c>
    </row>
    <row r="23" spans="1:3" x14ac:dyDescent="0.25">
      <c r="A23">
        <v>219</v>
      </c>
      <c r="B23">
        <f>GETPIVOTDATA("[Measures].[Sum of Quantity]",$A$22)</f>
        <v>219</v>
      </c>
      <c r="C23" s="7" t="s">
        <v>174</v>
      </c>
    </row>
    <row r="24" spans="1:3" x14ac:dyDescent="0.25">
      <c r="C24" s="7" t="s">
        <v>200</v>
      </c>
    </row>
    <row r="27" spans="1:3" x14ac:dyDescent="0.25">
      <c r="C27" s="6" t="s">
        <v>199</v>
      </c>
    </row>
    <row r="28" spans="1:3" x14ac:dyDescent="0.25">
      <c r="C28" s="7" t="s">
        <v>186</v>
      </c>
    </row>
    <row r="29" spans="1:3" x14ac:dyDescent="0.25">
      <c r="C29" s="7" t="s">
        <v>183</v>
      </c>
    </row>
    <row r="30" spans="1:3" x14ac:dyDescent="0.25">
      <c r="C30" s="7" t="s">
        <v>185</v>
      </c>
    </row>
    <row r="31" spans="1:3" x14ac:dyDescent="0.25">
      <c r="C31" s="7" t="s">
        <v>184</v>
      </c>
    </row>
    <row r="32" spans="1:3" x14ac:dyDescent="0.25">
      <c r="C32" s="7" t="s">
        <v>200</v>
      </c>
    </row>
    <row r="35" spans="3:3" x14ac:dyDescent="0.25">
      <c r="C35" s="6" t="s">
        <v>199</v>
      </c>
    </row>
    <row r="36" spans="3:3" x14ac:dyDescent="0.25">
      <c r="C36" s="7" t="s">
        <v>201</v>
      </c>
    </row>
    <row r="37" spans="3:3" x14ac:dyDescent="0.25">
      <c r="C37" s="7" t="s">
        <v>204</v>
      </c>
    </row>
    <row r="38" spans="3:3" x14ac:dyDescent="0.25">
      <c r="C38" s="7" t="s">
        <v>202</v>
      </c>
    </row>
    <row r="39" spans="3:3" x14ac:dyDescent="0.25">
      <c r="C39" s="7" t="s">
        <v>206</v>
      </c>
    </row>
    <row r="40" spans="3:3" x14ac:dyDescent="0.25">
      <c r="C40" s="7" t="s">
        <v>203</v>
      </c>
    </row>
    <row r="41" spans="3:3" x14ac:dyDescent="0.25">
      <c r="C41" s="7" t="s">
        <v>205</v>
      </c>
    </row>
    <row r="42" spans="3:3" x14ac:dyDescent="0.25">
      <c r="C42" s="7" t="s">
        <v>200</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E82E-9A24-4CCD-A47F-1B026328F2ED}">
  <dimension ref="A1"/>
  <sheetViews>
    <sheetView showGridLines="0" tabSelected="1" zoomScale="70" zoomScaleNormal="70" workbookViewId="0">
      <selection activeCell="X43" sqref="X4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workbookViewId="0">
      <selection activeCell="Q10" sqref="Q10"/>
    </sheetView>
  </sheetViews>
  <sheetFormatPr defaultRowHeight="15" x14ac:dyDescent="0.25"/>
  <cols>
    <col min="1" max="1" width="9.85546875" bestFit="1" customWidth="1"/>
    <col min="2" max="2" width="18.28515625" bestFit="1" customWidth="1"/>
    <col min="5" max="5" width="11.28515625" bestFit="1" customWidth="1"/>
    <col min="6" max="6" width="9.42578125" bestFit="1" customWidth="1"/>
    <col min="8" max="8" width="10.28515625" bestFit="1" customWidth="1"/>
    <col min="9" max="9" width="11.28515625" bestFit="1" customWidth="1"/>
    <col min="10" max="10" width="15.28515625" bestFit="1" customWidth="1"/>
    <col min="15" max="15" width="10.5703125" bestFit="1" customWidth="1"/>
    <col min="16" max="16" width="15.85546875" style="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3" t="s">
        <v>189</v>
      </c>
      <c r="O1" s="3" t="s">
        <v>190</v>
      </c>
      <c r="P1" s="4" t="s">
        <v>191</v>
      </c>
      <c r="Q1" s="3"/>
    </row>
    <row r="2" spans="1:17" x14ac:dyDescent="0.25">
      <c r="A2" t="s">
        <v>13</v>
      </c>
      <c r="B2" s="2">
        <v>46023</v>
      </c>
      <c r="C2" t="s">
        <v>93</v>
      </c>
      <c r="D2" t="s">
        <v>171</v>
      </c>
      <c r="E2" t="s">
        <v>177</v>
      </c>
      <c r="F2" t="s">
        <v>179</v>
      </c>
      <c r="G2">
        <v>3</v>
      </c>
      <c r="H2">
        <v>13962</v>
      </c>
      <c r="I2">
        <v>0</v>
      </c>
      <c r="J2" t="s">
        <v>183</v>
      </c>
      <c r="K2">
        <v>41886</v>
      </c>
      <c r="L2">
        <v>28238.14</v>
      </c>
      <c r="M2">
        <v>13647.86</v>
      </c>
      <c r="N2" t="str">
        <f>TEXT(B2,"mmm")</f>
        <v>Jan</v>
      </c>
      <c r="O2">
        <f>MONTH(B2)</f>
        <v>1</v>
      </c>
      <c r="P2" s="5">
        <f>M2/K2</f>
        <v>0.32583345270496111</v>
      </c>
    </row>
    <row r="3" spans="1:17" x14ac:dyDescent="0.25">
      <c r="A3" t="s">
        <v>14</v>
      </c>
      <c r="B3" s="2">
        <v>46025.278481012647</v>
      </c>
      <c r="C3" t="s">
        <v>94</v>
      </c>
      <c r="D3" t="s">
        <v>172</v>
      </c>
      <c r="E3" t="s">
        <v>178</v>
      </c>
      <c r="F3" t="s">
        <v>179</v>
      </c>
      <c r="G3">
        <v>1</v>
      </c>
      <c r="H3">
        <v>3480</v>
      </c>
      <c r="I3">
        <v>5</v>
      </c>
      <c r="J3" t="s">
        <v>184</v>
      </c>
      <c r="K3">
        <v>3306</v>
      </c>
      <c r="L3">
        <v>2339.9699999999998</v>
      </c>
      <c r="M3">
        <v>966.03</v>
      </c>
      <c r="N3" t="str">
        <f t="shared" ref="N3:N66" si="0">TEXT(B3,"mmm")</f>
        <v>Jan</v>
      </c>
      <c r="O3">
        <f t="shared" ref="O3:O66" si="1">MONTH(B3)</f>
        <v>1</v>
      </c>
      <c r="P3" s="5">
        <f t="shared" ref="P3:P66" si="2">M3/K3</f>
        <v>0.29220508166969145</v>
      </c>
    </row>
    <row r="4" spans="1:17" x14ac:dyDescent="0.25">
      <c r="A4" t="s">
        <v>15</v>
      </c>
      <c r="B4" s="2">
        <v>46027.556962025323</v>
      </c>
      <c r="C4" t="s">
        <v>95</v>
      </c>
      <c r="D4" t="s">
        <v>173</v>
      </c>
      <c r="E4" t="s">
        <v>178</v>
      </c>
      <c r="F4" t="s">
        <v>179</v>
      </c>
      <c r="G4">
        <v>2</v>
      </c>
      <c r="H4">
        <v>2160</v>
      </c>
      <c r="I4">
        <v>10</v>
      </c>
      <c r="J4" t="s">
        <v>183</v>
      </c>
      <c r="K4">
        <v>3888</v>
      </c>
      <c r="L4">
        <v>2471.5700000000002</v>
      </c>
      <c r="M4">
        <v>1416.43</v>
      </c>
      <c r="N4" t="str">
        <f t="shared" si="0"/>
        <v>Jan</v>
      </c>
      <c r="O4">
        <f t="shared" si="1"/>
        <v>1</v>
      </c>
      <c r="P4" s="5">
        <f t="shared" si="2"/>
        <v>0.36430812757201647</v>
      </c>
    </row>
    <row r="5" spans="1:17" x14ac:dyDescent="0.25">
      <c r="A5" t="s">
        <v>16</v>
      </c>
      <c r="B5" s="2">
        <v>46029.835443037977</v>
      </c>
      <c r="C5" t="s">
        <v>96</v>
      </c>
      <c r="D5" t="s">
        <v>172</v>
      </c>
      <c r="E5" t="s">
        <v>178</v>
      </c>
      <c r="F5" t="s">
        <v>182</v>
      </c>
      <c r="G5">
        <v>2</v>
      </c>
      <c r="H5">
        <v>3379</v>
      </c>
      <c r="I5">
        <v>5</v>
      </c>
      <c r="J5" t="s">
        <v>183</v>
      </c>
      <c r="K5">
        <v>6420.1</v>
      </c>
      <c r="L5">
        <v>4013.01</v>
      </c>
      <c r="M5">
        <v>2407.09</v>
      </c>
      <c r="N5" t="str">
        <f t="shared" si="0"/>
        <v>Jan</v>
      </c>
      <c r="O5">
        <f t="shared" si="1"/>
        <v>1</v>
      </c>
      <c r="P5" s="5">
        <f t="shared" si="2"/>
        <v>0.37493029703587172</v>
      </c>
    </row>
    <row r="6" spans="1:17" x14ac:dyDescent="0.25">
      <c r="A6" t="s">
        <v>17</v>
      </c>
      <c r="B6" s="2">
        <v>46032.113924050624</v>
      </c>
      <c r="C6" t="s">
        <v>97</v>
      </c>
      <c r="D6" t="s">
        <v>172</v>
      </c>
      <c r="E6" t="s">
        <v>178</v>
      </c>
      <c r="F6" t="s">
        <v>179</v>
      </c>
      <c r="G6">
        <v>4</v>
      </c>
      <c r="H6">
        <v>3197</v>
      </c>
      <c r="I6">
        <v>10</v>
      </c>
      <c r="J6" t="s">
        <v>184</v>
      </c>
      <c r="K6">
        <v>11509.2</v>
      </c>
      <c r="L6">
        <v>9351.57</v>
      </c>
      <c r="M6">
        <v>2157.63</v>
      </c>
      <c r="N6" t="str">
        <f t="shared" si="0"/>
        <v>Jan</v>
      </c>
      <c r="O6">
        <f t="shared" si="1"/>
        <v>1</v>
      </c>
      <c r="P6" s="5">
        <f t="shared" si="2"/>
        <v>0.18747002398081536</v>
      </c>
    </row>
    <row r="7" spans="1:17" x14ac:dyDescent="0.25">
      <c r="A7" t="s">
        <v>18</v>
      </c>
      <c r="B7" s="2">
        <v>46034.392405063278</v>
      </c>
      <c r="C7" t="s">
        <v>98</v>
      </c>
      <c r="D7" t="s">
        <v>174</v>
      </c>
      <c r="E7" t="s">
        <v>178</v>
      </c>
      <c r="F7" t="s">
        <v>179</v>
      </c>
      <c r="G7">
        <v>5</v>
      </c>
      <c r="H7">
        <v>1276</v>
      </c>
      <c r="I7">
        <v>5</v>
      </c>
      <c r="J7" t="s">
        <v>185</v>
      </c>
      <c r="K7">
        <v>6061</v>
      </c>
      <c r="L7">
        <v>4771.2</v>
      </c>
      <c r="M7">
        <v>1289.8</v>
      </c>
      <c r="N7" t="str">
        <f t="shared" si="0"/>
        <v>Jan</v>
      </c>
      <c r="O7">
        <f t="shared" si="1"/>
        <v>1</v>
      </c>
      <c r="P7" s="5">
        <f t="shared" si="2"/>
        <v>0.21280316779409339</v>
      </c>
    </row>
    <row r="8" spans="1:17" x14ac:dyDescent="0.25">
      <c r="A8" t="s">
        <v>19</v>
      </c>
      <c r="B8" s="2">
        <v>46036.670886075954</v>
      </c>
      <c r="C8" t="s">
        <v>99</v>
      </c>
      <c r="D8" t="s">
        <v>173</v>
      </c>
      <c r="E8" t="s">
        <v>178</v>
      </c>
      <c r="F8" t="s">
        <v>179</v>
      </c>
      <c r="G8">
        <v>1</v>
      </c>
      <c r="H8">
        <v>2503</v>
      </c>
      <c r="I8">
        <v>0</v>
      </c>
      <c r="J8" t="s">
        <v>184</v>
      </c>
      <c r="K8">
        <v>2503</v>
      </c>
      <c r="L8">
        <v>1900.26</v>
      </c>
      <c r="M8">
        <v>602.74</v>
      </c>
      <c r="N8" t="str">
        <f t="shared" si="0"/>
        <v>Jan</v>
      </c>
      <c r="O8">
        <f t="shared" si="1"/>
        <v>1</v>
      </c>
      <c r="P8" s="5">
        <f t="shared" si="2"/>
        <v>0.24080703156212546</v>
      </c>
    </row>
    <row r="9" spans="1:17" x14ac:dyDescent="0.25">
      <c r="A9" t="s">
        <v>20</v>
      </c>
      <c r="B9" s="2">
        <v>46038.9493670886</v>
      </c>
      <c r="C9" t="s">
        <v>100</v>
      </c>
      <c r="D9" t="s">
        <v>173</v>
      </c>
      <c r="E9" t="s">
        <v>178</v>
      </c>
      <c r="F9" t="s">
        <v>180</v>
      </c>
      <c r="G9">
        <v>1</v>
      </c>
      <c r="H9">
        <v>2391</v>
      </c>
      <c r="I9">
        <v>15</v>
      </c>
      <c r="J9" t="s">
        <v>185</v>
      </c>
      <c r="K9">
        <v>2032.35</v>
      </c>
      <c r="L9">
        <v>1426.28</v>
      </c>
      <c r="M9">
        <v>606.07000000000005</v>
      </c>
      <c r="N9" t="str">
        <f t="shared" si="0"/>
        <v>Jan</v>
      </c>
      <c r="O9">
        <f t="shared" si="1"/>
        <v>1</v>
      </c>
      <c r="P9" s="5">
        <f t="shared" si="2"/>
        <v>0.2982114301178439</v>
      </c>
    </row>
    <row r="10" spans="1:17" x14ac:dyDescent="0.25">
      <c r="A10" t="s">
        <v>21</v>
      </c>
      <c r="B10" s="2">
        <v>46041.227848101262</v>
      </c>
      <c r="C10" t="s">
        <v>101</v>
      </c>
      <c r="D10" t="s">
        <v>173</v>
      </c>
      <c r="E10" t="s">
        <v>178</v>
      </c>
      <c r="F10" t="s">
        <v>179</v>
      </c>
      <c r="G10">
        <v>3</v>
      </c>
      <c r="H10">
        <v>2134</v>
      </c>
      <c r="I10">
        <v>0</v>
      </c>
      <c r="J10" t="s">
        <v>184</v>
      </c>
      <c r="K10">
        <v>6402</v>
      </c>
      <c r="L10">
        <v>4191.13</v>
      </c>
      <c r="M10">
        <v>2210.87</v>
      </c>
      <c r="N10" t="str">
        <f t="shared" si="0"/>
        <v>Jan</v>
      </c>
      <c r="O10">
        <f t="shared" si="1"/>
        <v>1</v>
      </c>
      <c r="P10" s="5">
        <f t="shared" si="2"/>
        <v>0.34534051858794124</v>
      </c>
    </row>
    <row r="11" spans="1:17" x14ac:dyDescent="0.25">
      <c r="A11" t="s">
        <v>22</v>
      </c>
      <c r="B11" s="2">
        <v>46043.506329113923</v>
      </c>
      <c r="C11" t="s">
        <v>102</v>
      </c>
      <c r="D11" t="s">
        <v>172</v>
      </c>
      <c r="E11" t="s">
        <v>178</v>
      </c>
      <c r="F11" t="s">
        <v>181</v>
      </c>
      <c r="G11">
        <v>2</v>
      </c>
      <c r="H11">
        <v>2994</v>
      </c>
      <c r="I11">
        <v>15</v>
      </c>
      <c r="J11" t="s">
        <v>183</v>
      </c>
      <c r="K11">
        <v>5089.8</v>
      </c>
      <c r="L11">
        <v>3314.92</v>
      </c>
      <c r="M11">
        <v>1774.88</v>
      </c>
      <c r="N11" t="str">
        <f t="shared" si="0"/>
        <v>Jan</v>
      </c>
      <c r="O11">
        <f t="shared" si="1"/>
        <v>1</v>
      </c>
      <c r="P11" s="5">
        <f t="shared" si="2"/>
        <v>0.34871311249950881</v>
      </c>
    </row>
    <row r="12" spans="1:17" x14ac:dyDescent="0.25">
      <c r="A12" t="s">
        <v>23</v>
      </c>
      <c r="B12" s="2">
        <v>46045.784810126577</v>
      </c>
      <c r="C12" t="s">
        <v>103</v>
      </c>
      <c r="D12" t="s">
        <v>171</v>
      </c>
      <c r="E12" t="s">
        <v>177</v>
      </c>
      <c r="F12" t="s">
        <v>179</v>
      </c>
      <c r="G12">
        <v>5</v>
      </c>
      <c r="H12">
        <v>14200</v>
      </c>
      <c r="I12">
        <v>5</v>
      </c>
      <c r="J12" t="s">
        <v>183</v>
      </c>
      <c r="K12">
        <v>67450</v>
      </c>
      <c r="L12">
        <v>45194.78</v>
      </c>
      <c r="M12">
        <v>22255.22</v>
      </c>
      <c r="N12" t="str">
        <f t="shared" si="0"/>
        <v>Jan</v>
      </c>
      <c r="O12">
        <f t="shared" si="1"/>
        <v>1</v>
      </c>
      <c r="P12" s="5">
        <f t="shared" si="2"/>
        <v>0.329951371386212</v>
      </c>
    </row>
    <row r="13" spans="1:17" x14ac:dyDescent="0.25">
      <c r="A13" t="s">
        <v>24</v>
      </c>
      <c r="B13" s="2">
        <v>46048.063291139239</v>
      </c>
      <c r="C13" t="s">
        <v>104</v>
      </c>
      <c r="D13" t="s">
        <v>173</v>
      </c>
      <c r="E13" t="s">
        <v>178</v>
      </c>
      <c r="F13" t="s">
        <v>181</v>
      </c>
      <c r="G13">
        <v>4</v>
      </c>
      <c r="H13">
        <v>2639</v>
      </c>
      <c r="I13">
        <v>10</v>
      </c>
      <c r="J13" t="s">
        <v>186</v>
      </c>
      <c r="K13">
        <v>9500.4</v>
      </c>
      <c r="L13">
        <v>6933.82</v>
      </c>
      <c r="M13">
        <v>2566.58</v>
      </c>
      <c r="N13" t="str">
        <f t="shared" si="0"/>
        <v>Jan</v>
      </c>
      <c r="O13">
        <f t="shared" si="1"/>
        <v>1</v>
      </c>
      <c r="P13" s="5">
        <f t="shared" si="2"/>
        <v>0.27015494084459601</v>
      </c>
    </row>
    <row r="14" spans="1:17" x14ac:dyDescent="0.25">
      <c r="A14" t="s">
        <v>25</v>
      </c>
      <c r="B14" s="2">
        <v>46050.3417721519</v>
      </c>
      <c r="C14" t="s">
        <v>105</v>
      </c>
      <c r="D14" t="s">
        <v>172</v>
      </c>
      <c r="E14" t="s">
        <v>178</v>
      </c>
      <c r="F14" t="s">
        <v>181</v>
      </c>
      <c r="G14">
        <v>2</v>
      </c>
      <c r="H14">
        <v>2832</v>
      </c>
      <c r="I14">
        <v>0</v>
      </c>
      <c r="J14" t="s">
        <v>185</v>
      </c>
      <c r="K14">
        <v>5664</v>
      </c>
      <c r="L14">
        <v>4321.17</v>
      </c>
      <c r="M14">
        <v>1342.83</v>
      </c>
      <c r="N14" t="str">
        <f t="shared" si="0"/>
        <v>Jan</v>
      </c>
      <c r="O14">
        <f t="shared" si="1"/>
        <v>1</v>
      </c>
      <c r="P14" s="5">
        <f t="shared" si="2"/>
        <v>0.23708156779661016</v>
      </c>
    </row>
    <row r="15" spans="1:17" x14ac:dyDescent="0.25">
      <c r="A15" t="s">
        <v>26</v>
      </c>
      <c r="B15" s="2">
        <v>46052.620253164547</v>
      </c>
      <c r="C15" t="s">
        <v>106</v>
      </c>
      <c r="D15" t="s">
        <v>174</v>
      </c>
      <c r="E15" t="s">
        <v>178</v>
      </c>
      <c r="F15" t="s">
        <v>181</v>
      </c>
      <c r="G15">
        <v>4</v>
      </c>
      <c r="H15">
        <v>1687</v>
      </c>
      <c r="I15">
        <v>15</v>
      </c>
      <c r="J15" t="s">
        <v>186</v>
      </c>
      <c r="K15">
        <v>5735.8</v>
      </c>
      <c r="L15">
        <v>4313.55</v>
      </c>
      <c r="M15">
        <v>1422.25</v>
      </c>
      <c r="N15" t="str">
        <f t="shared" si="0"/>
        <v>Jan</v>
      </c>
      <c r="O15">
        <f t="shared" si="1"/>
        <v>1</v>
      </c>
      <c r="P15" s="5">
        <f t="shared" si="2"/>
        <v>0.24796017992259142</v>
      </c>
    </row>
    <row r="16" spans="1:17" x14ac:dyDescent="0.25">
      <c r="A16" t="s">
        <v>27</v>
      </c>
      <c r="B16" s="2">
        <v>46054.898734177208</v>
      </c>
      <c r="C16" t="s">
        <v>107</v>
      </c>
      <c r="D16" t="s">
        <v>171</v>
      </c>
      <c r="E16" t="s">
        <v>177</v>
      </c>
      <c r="F16" t="s">
        <v>180</v>
      </c>
      <c r="G16">
        <v>3</v>
      </c>
      <c r="H16">
        <v>14259</v>
      </c>
      <c r="I16">
        <v>0</v>
      </c>
      <c r="J16" t="s">
        <v>186</v>
      </c>
      <c r="K16">
        <v>42777</v>
      </c>
      <c r="L16">
        <v>28916.69</v>
      </c>
      <c r="M16">
        <v>13860.31</v>
      </c>
      <c r="N16" t="str">
        <f t="shared" si="0"/>
        <v>Feb</v>
      </c>
      <c r="O16">
        <f t="shared" si="1"/>
        <v>2</v>
      </c>
      <c r="P16" s="5">
        <f t="shared" si="2"/>
        <v>0.32401313790120856</v>
      </c>
    </row>
    <row r="17" spans="1:16" x14ac:dyDescent="0.25">
      <c r="A17" t="s">
        <v>28</v>
      </c>
      <c r="B17" s="2">
        <v>46057.177215189869</v>
      </c>
      <c r="C17" t="s">
        <v>188</v>
      </c>
      <c r="D17" t="s">
        <v>174</v>
      </c>
      <c r="E17" t="s">
        <v>178</v>
      </c>
      <c r="F17" t="s">
        <v>180</v>
      </c>
      <c r="G17">
        <v>3</v>
      </c>
      <c r="H17">
        <v>1469</v>
      </c>
      <c r="I17">
        <v>15</v>
      </c>
      <c r="J17" t="s">
        <v>184</v>
      </c>
      <c r="K17">
        <v>3745.95</v>
      </c>
      <c r="L17">
        <v>3037.86</v>
      </c>
      <c r="M17">
        <v>708.09</v>
      </c>
      <c r="N17" t="str">
        <f t="shared" si="0"/>
        <v>Feb</v>
      </c>
      <c r="O17">
        <f t="shared" si="1"/>
        <v>2</v>
      </c>
      <c r="P17" s="5">
        <f t="shared" si="2"/>
        <v>0.18902815040243465</v>
      </c>
    </row>
    <row r="18" spans="1:16" x14ac:dyDescent="0.25">
      <c r="A18" t="s">
        <v>29</v>
      </c>
      <c r="B18" s="2">
        <v>46059.455696202524</v>
      </c>
      <c r="C18" t="s">
        <v>108</v>
      </c>
      <c r="D18" t="s">
        <v>171</v>
      </c>
      <c r="E18" t="s">
        <v>177</v>
      </c>
      <c r="F18" t="s">
        <v>180</v>
      </c>
      <c r="G18">
        <v>1</v>
      </c>
      <c r="H18">
        <v>14174</v>
      </c>
      <c r="I18">
        <v>0</v>
      </c>
      <c r="J18" t="s">
        <v>186</v>
      </c>
      <c r="K18">
        <v>14174</v>
      </c>
      <c r="L18">
        <v>10879.67</v>
      </c>
      <c r="M18">
        <v>3294.33</v>
      </c>
      <c r="N18" t="str">
        <f t="shared" si="0"/>
        <v>Feb</v>
      </c>
      <c r="O18">
        <f t="shared" si="1"/>
        <v>2</v>
      </c>
      <c r="P18" s="5">
        <f t="shared" si="2"/>
        <v>0.23242062932129251</v>
      </c>
    </row>
    <row r="19" spans="1:16" x14ac:dyDescent="0.25">
      <c r="A19" t="s">
        <v>30</v>
      </c>
      <c r="B19" s="2">
        <v>46061.734177215178</v>
      </c>
      <c r="C19" t="s">
        <v>109</v>
      </c>
      <c r="D19" t="s">
        <v>172</v>
      </c>
      <c r="E19" t="s">
        <v>178</v>
      </c>
      <c r="F19" t="s">
        <v>179</v>
      </c>
      <c r="G19">
        <v>5</v>
      </c>
      <c r="H19">
        <v>2821</v>
      </c>
      <c r="I19">
        <v>15</v>
      </c>
      <c r="J19" t="s">
        <v>184</v>
      </c>
      <c r="K19">
        <v>11989.25</v>
      </c>
      <c r="L19">
        <v>8762.59</v>
      </c>
      <c r="M19">
        <v>3226.66</v>
      </c>
      <c r="N19" t="str">
        <f t="shared" si="0"/>
        <v>Feb</v>
      </c>
      <c r="O19">
        <f t="shared" si="1"/>
        <v>2</v>
      </c>
      <c r="P19" s="5">
        <f t="shared" si="2"/>
        <v>0.26912942844631649</v>
      </c>
    </row>
    <row r="20" spans="1:16" x14ac:dyDescent="0.25">
      <c r="A20" t="s">
        <v>31</v>
      </c>
      <c r="B20" s="2">
        <v>46064.012658227854</v>
      </c>
      <c r="C20" t="s">
        <v>110</v>
      </c>
      <c r="D20" t="s">
        <v>175</v>
      </c>
      <c r="E20" t="s">
        <v>177</v>
      </c>
      <c r="F20" t="s">
        <v>181</v>
      </c>
      <c r="G20">
        <v>4</v>
      </c>
      <c r="H20">
        <v>55469</v>
      </c>
      <c r="I20">
        <v>15</v>
      </c>
      <c r="J20" t="s">
        <v>184</v>
      </c>
      <c r="K20">
        <v>188594.6</v>
      </c>
      <c r="L20">
        <v>140002.1</v>
      </c>
      <c r="M20">
        <v>48592.5</v>
      </c>
      <c r="N20" t="str">
        <f t="shared" si="0"/>
        <v>Feb</v>
      </c>
      <c r="O20">
        <f t="shared" si="1"/>
        <v>2</v>
      </c>
      <c r="P20" s="5">
        <f t="shared" si="2"/>
        <v>0.25765583956274463</v>
      </c>
    </row>
    <row r="21" spans="1:16" x14ac:dyDescent="0.25">
      <c r="A21" t="s">
        <v>32</v>
      </c>
      <c r="B21" s="2">
        <v>46066.2911392405</v>
      </c>
      <c r="C21" t="s">
        <v>111</v>
      </c>
      <c r="D21" t="s">
        <v>171</v>
      </c>
      <c r="E21" t="s">
        <v>177</v>
      </c>
      <c r="F21" t="s">
        <v>180</v>
      </c>
      <c r="G21">
        <v>2</v>
      </c>
      <c r="H21">
        <v>13837</v>
      </c>
      <c r="I21">
        <v>5</v>
      </c>
      <c r="J21" t="s">
        <v>186</v>
      </c>
      <c r="K21">
        <v>26290.3</v>
      </c>
      <c r="L21">
        <v>18506.27</v>
      </c>
      <c r="M21">
        <v>7784.03</v>
      </c>
      <c r="N21" t="str">
        <f t="shared" si="0"/>
        <v>Feb</v>
      </c>
      <c r="O21">
        <f t="shared" si="1"/>
        <v>2</v>
      </c>
      <c r="P21" s="5">
        <f t="shared" si="2"/>
        <v>0.29607992301343083</v>
      </c>
    </row>
    <row r="22" spans="1:16" x14ac:dyDescent="0.25">
      <c r="A22" t="s">
        <v>33</v>
      </c>
      <c r="B22" s="2">
        <v>46068.569620253162</v>
      </c>
      <c r="C22" t="s">
        <v>112</v>
      </c>
      <c r="D22" t="s">
        <v>174</v>
      </c>
      <c r="E22" t="s">
        <v>178</v>
      </c>
      <c r="F22" t="s">
        <v>180</v>
      </c>
      <c r="G22">
        <v>3</v>
      </c>
      <c r="H22">
        <v>1229</v>
      </c>
      <c r="I22">
        <v>15</v>
      </c>
      <c r="J22" t="s">
        <v>185</v>
      </c>
      <c r="K22">
        <v>3133.95</v>
      </c>
      <c r="L22">
        <v>2098.3200000000002</v>
      </c>
      <c r="M22">
        <v>1035.6300000000001</v>
      </c>
      <c r="N22" t="str">
        <f t="shared" si="0"/>
        <v>Feb</v>
      </c>
      <c r="O22">
        <f t="shared" si="1"/>
        <v>2</v>
      </c>
      <c r="P22" s="5">
        <f t="shared" si="2"/>
        <v>0.33045517637486244</v>
      </c>
    </row>
    <row r="23" spans="1:16" x14ac:dyDescent="0.25">
      <c r="A23" t="s">
        <v>34</v>
      </c>
      <c r="B23" s="2">
        <v>46070.848101265823</v>
      </c>
      <c r="C23" t="s">
        <v>113</v>
      </c>
      <c r="D23" t="s">
        <v>172</v>
      </c>
      <c r="E23" t="s">
        <v>178</v>
      </c>
      <c r="F23" t="s">
        <v>179</v>
      </c>
      <c r="G23">
        <v>1</v>
      </c>
      <c r="H23">
        <v>3164</v>
      </c>
      <c r="I23">
        <v>5</v>
      </c>
      <c r="J23" t="s">
        <v>185</v>
      </c>
      <c r="K23">
        <v>3005.8</v>
      </c>
      <c r="L23">
        <v>2077.59</v>
      </c>
      <c r="M23">
        <v>928.21</v>
      </c>
      <c r="N23" t="str">
        <f t="shared" si="0"/>
        <v>Feb</v>
      </c>
      <c r="O23">
        <f t="shared" si="1"/>
        <v>2</v>
      </c>
      <c r="P23" s="5">
        <f t="shared" si="2"/>
        <v>0.30880630780491047</v>
      </c>
    </row>
    <row r="24" spans="1:16" x14ac:dyDescent="0.25">
      <c r="A24" t="s">
        <v>35</v>
      </c>
      <c r="B24" s="2">
        <v>46073.12658227847</v>
      </c>
      <c r="C24" t="s">
        <v>114</v>
      </c>
      <c r="D24" t="s">
        <v>176</v>
      </c>
      <c r="E24" t="s">
        <v>177</v>
      </c>
      <c r="F24" t="s">
        <v>180</v>
      </c>
      <c r="G24">
        <v>1</v>
      </c>
      <c r="H24">
        <v>14362</v>
      </c>
      <c r="I24">
        <v>15</v>
      </c>
      <c r="J24" t="s">
        <v>185</v>
      </c>
      <c r="K24">
        <v>12207.7</v>
      </c>
      <c r="L24">
        <v>9419.09</v>
      </c>
      <c r="M24">
        <v>2788.61</v>
      </c>
      <c r="N24" t="str">
        <f t="shared" si="0"/>
        <v>Feb</v>
      </c>
      <c r="O24">
        <f t="shared" si="1"/>
        <v>2</v>
      </c>
      <c r="P24" s="5">
        <f t="shared" si="2"/>
        <v>0.2284304168680423</v>
      </c>
    </row>
    <row r="25" spans="1:16" x14ac:dyDescent="0.25">
      <c r="A25" t="s">
        <v>36</v>
      </c>
      <c r="B25" s="2">
        <v>46075.405063291131</v>
      </c>
      <c r="C25" t="s">
        <v>115</v>
      </c>
      <c r="D25" t="s">
        <v>175</v>
      </c>
      <c r="E25" t="s">
        <v>177</v>
      </c>
      <c r="F25" t="s">
        <v>179</v>
      </c>
      <c r="G25">
        <v>4</v>
      </c>
      <c r="H25">
        <v>55237</v>
      </c>
      <c r="I25">
        <v>10</v>
      </c>
      <c r="J25" t="s">
        <v>185</v>
      </c>
      <c r="K25">
        <v>198853.2</v>
      </c>
      <c r="L25">
        <v>123861.42</v>
      </c>
      <c r="M25">
        <v>74991.78</v>
      </c>
      <c r="N25" t="str">
        <f t="shared" si="0"/>
        <v>Feb</v>
      </c>
      <c r="O25">
        <f t="shared" si="1"/>
        <v>2</v>
      </c>
      <c r="P25" s="5">
        <f t="shared" si="2"/>
        <v>0.37712131361225265</v>
      </c>
    </row>
    <row r="26" spans="1:16" x14ac:dyDescent="0.25">
      <c r="A26" t="s">
        <v>37</v>
      </c>
      <c r="B26" s="2">
        <v>46077.6835443038</v>
      </c>
      <c r="C26" t="s">
        <v>116</v>
      </c>
      <c r="D26" t="s">
        <v>175</v>
      </c>
      <c r="E26" t="s">
        <v>177</v>
      </c>
      <c r="F26" t="s">
        <v>182</v>
      </c>
      <c r="G26">
        <v>3</v>
      </c>
      <c r="H26">
        <v>55082</v>
      </c>
      <c r="I26">
        <v>10</v>
      </c>
      <c r="J26" t="s">
        <v>185</v>
      </c>
      <c r="K26">
        <v>148721.4</v>
      </c>
      <c r="L26">
        <v>95659.77</v>
      </c>
      <c r="M26">
        <v>53061.63</v>
      </c>
      <c r="N26" t="str">
        <f t="shared" si="0"/>
        <v>Feb</v>
      </c>
      <c r="O26">
        <f t="shared" si="1"/>
        <v>2</v>
      </c>
      <c r="P26" s="5">
        <f t="shared" si="2"/>
        <v>0.3567854390827413</v>
      </c>
    </row>
    <row r="27" spans="1:16" x14ac:dyDescent="0.25">
      <c r="A27" t="s">
        <v>38</v>
      </c>
      <c r="B27" s="2">
        <v>46079.962025316447</v>
      </c>
      <c r="C27" t="s">
        <v>117</v>
      </c>
      <c r="D27" t="s">
        <v>173</v>
      </c>
      <c r="E27" t="s">
        <v>178</v>
      </c>
      <c r="F27" t="s">
        <v>180</v>
      </c>
      <c r="G27">
        <v>5</v>
      </c>
      <c r="H27">
        <v>2026</v>
      </c>
      <c r="I27">
        <v>10</v>
      </c>
      <c r="J27" t="s">
        <v>186</v>
      </c>
      <c r="K27">
        <v>9117</v>
      </c>
      <c r="L27">
        <v>5736.42</v>
      </c>
      <c r="M27">
        <v>3380.58</v>
      </c>
      <c r="N27" t="str">
        <f t="shared" si="0"/>
        <v>Feb</v>
      </c>
      <c r="O27">
        <f t="shared" si="1"/>
        <v>2</v>
      </c>
      <c r="P27" s="5">
        <f t="shared" si="2"/>
        <v>0.37079960513326754</v>
      </c>
    </row>
    <row r="28" spans="1:16" x14ac:dyDescent="0.25">
      <c r="A28" t="s">
        <v>39</v>
      </c>
      <c r="B28" s="2">
        <v>46082.240506329108</v>
      </c>
      <c r="C28" t="s">
        <v>118</v>
      </c>
      <c r="D28" t="s">
        <v>173</v>
      </c>
      <c r="E28" t="s">
        <v>178</v>
      </c>
      <c r="F28" t="s">
        <v>182</v>
      </c>
      <c r="G28">
        <v>3</v>
      </c>
      <c r="H28">
        <v>2225</v>
      </c>
      <c r="I28">
        <v>15</v>
      </c>
      <c r="J28" t="s">
        <v>186</v>
      </c>
      <c r="K28">
        <v>5673.75</v>
      </c>
      <c r="L28">
        <v>3563.94</v>
      </c>
      <c r="M28">
        <v>2109.81</v>
      </c>
      <c r="N28" t="str">
        <f t="shared" si="0"/>
        <v>Mar</v>
      </c>
      <c r="O28">
        <f t="shared" si="1"/>
        <v>3</v>
      </c>
      <c r="P28" s="5">
        <f t="shared" si="2"/>
        <v>0.37185459352280237</v>
      </c>
    </row>
    <row r="29" spans="1:16" x14ac:dyDescent="0.25">
      <c r="A29" t="s">
        <v>40</v>
      </c>
      <c r="B29" s="2">
        <v>46084.518987341769</v>
      </c>
      <c r="C29" t="s">
        <v>119</v>
      </c>
      <c r="D29" t="s">
        <v>174</v>
      </c>
      <c r="E29" t="s">
        <v>178</v>
      </c>
      <c r="F29" t="s">
        <v>179</v>
      </c>
      <c r="G29">
        <v>4</v>
      </c>
      <c r="H29">
        <v>1276</v>
      </c>
      <c r="I29">
        <v>5</v>
      </c>
      <c r="J29" t="s">
        <v>183</v>
      </c>
      <c r="K29">
        <v>4848.8</v>
      </c>
      <c r="L29">
        <v>3835.85</v>
      </c>
      <c r="M29">
        <v>1012.95</v>
      </c>
      <c r="N29" t="str">
        <f t="shared" si="0"/>
        <v>Mar</v>
      </c>
      <c r="O29">
        <f t="shared" si="1"/>
        <v>3</v>
      </c>
      <c r="P29" s="5">
        <f t="shared" si="2"/>
        <v>0.20890735852169609</v>
      </c>
    </row>
    <row r="30" spans="1:16" x14ac:dyDescent="0.25">
      <c r="A30" t="s">
        <v>41</v>
      </c>
      <c r="B30" s="2">
        <v>46086.797468354423</v>
      </c>
      <c r="C30" t="s">
        <v>120</v>
      </c>
      <c r="D30" t="s">
        <v>171</v>
      </c>
      <c r="E30" t="s">
        <v>177</v>
      </c>
      <c r="F30" t="s">
        <v>181</v>
      </c>
      <c r="G30">
        <v>4</v>
      </c>
      <c r="H30">
        <v>14408</v>
      </c>
      <c r="I30">
        <v>5</v>
      </c>
      <c r="J30" t="s">
        <v>185</v>
      </c>
      <c r="K30">
        <v>54750.400000000001</v>
      </c>
      <c r="L30">
        <v>41650.36</v>
      </c>
      <c r="M30">
        <v>13100.04</v>
      </c>
      <c r="N30" t="str">
        <f t="shared" si="0"/>
        <v>Mar</v>
      </c>
      <c r="O30">
        <f t="shared" si="1"/>
        <v>3</v>
      </c>
      <c r="P30" s="5">
        <f t="shared" si="2"/>
        <v>0.23926838890674773</v>
      </c>
    </row>
    <row r="31" spans="1:16" x14ac:dyDescent="0.25">
      <c r="A31" t="s">
        <v>42</v>
      </c>
      <c r="B31" s="2">
        <v>46089.075949367078</v>
      </c>
      <c r="C31" t="s">
        <v>121</v>
      </c>
      <c r="D31" t="s">
        <v>171</v>
      </c>
      <c r="E31" t="s">
        <v>177</v>
      </c>
      <c r="F31" t="s">
        <v>180</v>
      </c>
      <c r="G31">
        <v>3</v>
      </c>
      <c r="H31">
        <v>14083</v>
      </c>
      <c r="I31">
        <v>15</v>
      </c>
      <c r="J31" t="s">
        <v>186</v>
      </c>
      <c r="K31">
        <v>35911.65</v>
      </c>
      <c r="L31">
        <v>25670.9</v>
      </c>
      <c r="M31">
        <v>10240.75</v>
      </c>
      <c r="N31" t="str">
        <f t="shared" si="0"/>
        <v>Mar</v>
      </c>
      <c r="O31">
        <f t="shared" si="1"/>
        <v>3</v>
      </c>
      <c r="P31" s="5">
        <f t="shared" si="2"/>
        <v>0.28516512051103193</v>
      </c>
    </row>
    <row r="32" spans="1:16" x14ac:dyDescent="0.25">
      <c r="A32" t="s">
        <v>43</v>
      </c>
      <c r="B32" s="2">
        <v>46091.354430379753</v>
      </c>
      <c r="C32" t="s">
        <v>122</v>
      </c>
      <c r="D32" t="s">
        <v>173</v>
      </c>
      <c r="E32" t="s">
        <v>178</v>
      </c>
      <c r="F32" t="s">
        <v>179</v>
      </c>
      <c r="G32">
        <v>4</v>
      </c>
      <c r="H32">
        <v>2480</v>
      </c>
      <c r="I32">
        <v>10</v>
      </c>
      <c r="J32" t="s">
        <v>183</v>
      </c>
      <c r="K32">
        <v>8928</v>
      </c>
      <c r="L32">
        <v>5710.05</v>
      </c>
      <c r="M32">
        <v>3217.95</v>
      </c>
      <c r="N32" t="str">
        <f t="shared" si="0"/>
        <v>Mar</v>
      </c>
      <c r="O32">
        <f t="shared" si="1"/>
        <v>3</v>
      </c>
      <c r="P32" s="5">
        <f t="shared" si="2"/>
        <v>0.36043346774193546</v>
      </c>
    </row>
    <row r="33" spans="1:16" x14ac:dyDescent="0.25">
      <c r="A33" t="s">
        <v>44</v>
      </c>
      <c r="B33" s="2">
        <v>46093.632911392393</v>
      </c>
      <c r="C33" t="s">
        <v>123</v>
      </c>
      <c r="D33" t="s">
        <v>171</v>
      </c>
      <c r="E33" t="s">
        <v>177</v>
      </c>
      <c r="F33" t="s">
        <v>181</v>
      </c>
      <c r="G33">
        <v>3</v>
      </c>
      <c r="H33">
        <v>14252</v>
      </c>
      <c r="I33">
        <v>0</v>
      </c>
      <c r="J33" t="s">
        <v>185</v>
      </c>
      <c r="K33">
        <v>38480.400000000001</v>
      </c>
      <c r="L33">
        <v>27641.360000000001</v>
      </c>
      <c r="M33">
        <v>10839.04</v>
      </c>
      <c r="N33" t="str">
        <f t="shared" si="0"/>
        <v>Mar</v>
      </c>
      <c r="O33">
        <f t="shared" si="1"/>
        <v>3</v>
      </c>
      <c r="P33" s="5">
        <f t="shared" si="2"/>
        <v>0.28167690564547149</v>
      </c>
    </row>
    <row r="34" spans="1:16" x14ac:dyDescent="0.25">
      <c r="A34" t="s">
        <v>45</v>
      </c>
      <c r="B34" s="2">
        <v>46095.911392405047</v>
      </c>
      <c r="C34" t="s">
        <v>124</v>
      </c>
      <c r="D34" t="s">
        <v>171</v>
      </c>
      <c r="E34" t="s">
        <v>177</v>
      </c>
      <c r="F34" t="s">
        <v>181</v>
      </c>
      <c r="G34">
        <v>2</v>
      </c>
      <c r="H34">
        <v>14458</v>
      </c>
      <c r="I34">
        <v>5</v>
      </c>
      <c r="J34" t="s">
        <v>184</v>
      </c>
      <c r="K34">
        <v>27470.2</v>
      </c>
      <c r="L34">
        <v>19632.8</v>
      </c>
      <c r="M34">
        <v>7837.4</v>
      </c>
      <c r="N34" t="str">
        <f t="shared" si="0"/>
        <v>Mar</v>
      </c>
      <c r="O34">
        <f t="shared" si="1"/>
        <v>3</v>
      </c>
      <c r="P34" s="5">
        <f t="shared" si="2"/>
        <v>0.28530553108459344</v>
      </c>
    </row>
    <row r="35" spans="1:16" x14ac:dyDescent="0.25">
      <c r="A35" t="s">
        <v>46</v>
      </c>
      <c r="B35" s="2">
        <v>46098.189873417723</v>
      </c>
      <c r="C35" t="s">
        <v>125</v>
      </c>
      <c r="D35" t="s">
        <v>175</v>
      </c>
      <c r="E35" t="s">
        <v>177</v>
      </c>
      <c r="F35" t="s">
        <v>182</v>
      </c>
      <c r="G35">
        <v>3</v>
      </c>
      <c r="H35">
        <v>55315</v>
      </c>
      <c r="I35">
        <v>10</v>
      </c>
      <c r="J35" t="s">
        <v>183</v>
      </c>
      <c r="K35">
        <v>149350.5</v>
      </c>
      <c r="L35">
        <v>97770.87</v>
      </c>
      <c r="M35">
        <v>51579.63</v>
      </c>
      <c r="N35" t="str">
        <f t="shared" si="0"/>
        <v>Mar</v>
      </c>
      <c r="O35">
        <f t="shared" si="1"/>
        <v>3</v>
      </c>
      <c r="P35" s="5">
        <f t="shared" si="2"/>
        <v>0.34535960709873753</v>
      </c>
    </row>
    <row r="36" spans="1:16" x14ac:dyDescent="0.25">
      <c r="A36" t="s">
        <v>47</v>
      </c>
      <c r="B36" s="2">
        <v>46100.46835443037</v>
      </c>
      <c r="C36" t="s">
        <v>126</v>
      </c>
      <c r="D36" t="s">
        <v>173</v>
      </c>
      <c r="E36" t="s">
        <v>178</v>
      </c>
      <c r="F36" t="s">
        <v>179</v>
      </c>
      <c r="G36">
        <v>3</v>
      </c>
      <c r="H36">
        <v>2546</v>
      </c>
      <c r="I36">
        <v>0</v>
      </c>
      <c r="J36" t="s">
        <v>186</v>
      </c>
      <c r="K36">
        <v>7638</v>
      </c>
      <c r="L36">
        <v>5398.31</v>
      </c>
      <c r="M36">
        <v>2239.69</v>
      </c>
      <c r="N36" t="str">
        <f t="shared" si="0"/>
        <v>Mar</v>
      </c>
      <c r="O36">
        <f t="shared" si="1"/>
        <v>3</v>
      </c>
      <c r="P36" s="5">
        <f t="shared" si="2"/>
        <v>0.29322990311599895</v>
      </c>
    </row>
    <row r="37" spans="1:16" x14ac:dyDescent="0.25">
      <c r="A37" t="s">
        <v>48</v>
      </c>
      <c r="B37" s="2">
        <v>46102.746835443031</v>
      </c>
      <c r="C37" t="s">
        <v>127</v>
      </c>
      <c r="D37" t="s">
        <v>172</v>
      </c>
      <c r="E37" t="s">
        <v>178</v>
      </c>
      <c r="F37" t="s">
        <v>181</v>
      </c>
      <c r="G37">
        <v>4</v>
      </c>
      <c r="H37">
        <v>2991</v>
      </c>
      <c r="I37">
        <v>5</v>
      </c>
      <c r="J37" t="s">
        <v>184</v>
      </c>
      <c r="K37">
        <v>11365.8</v>
      </c>
      <c r="L37">
        <v>7952.66</v>
      </c>
      <c r="M37">
        <v>3413.14</v>
      </c>
      <c r="N37" t="str">
        <f t="shared" si="0"/>
        <v>Mar</v>
      </c>
      <c r="O37">
        <f t="shared" si="1"/>
        <v>3</v>
      </c>
      <c r="P37" s="5">
        <f t="shared" si="2"/>
        <v>0.30029914304316457</v>
      </c>
    </row>
    <row r="38" spans="1:16" x14ac:dyDescent="0.25">
      <c r="A38" t="s">
        <v>49</v>
      </c>
      <c r="B38" s="2">
        <v>46105.025316455693</v>
      </c>
      <c r="C38" t="s">
        <v>128</v>
      </c>
      <c r="D38" t="s">
        <v>173</v>
      </c>
      <c r="E38" t="s">
        <v>178</v>
      </c>
      <c r="F38" t="s">
        <v>180</v>
      </c>
      <c r="G38">
        <v>4</v>
      </c>
      <c r="H38">
        <v>2048</v>
      </c>
      <c r="I38">
        <v>10</v>
      </c>
      <c r="J38" t="s">
        <v>184</v>
      </c>
      <c r="K38">
        <v>7372.8</v>
      </c>
      <c r="L38">
        <v>5479.24</v>
      </c>
      <c r="M38">
        <v>1893.56</v>
      </c>
      <c r="N38" t="str">
        <f t="shared" si="0"/>
        <v>Mar</v>
      </c>
      <c r="O38">
        <f t="shared" si="1"/>
        <v>3</v>
      </c>
      <c r="P38" s="5">
        <f t="shared" si="2"/>
        <v>0.25683051215277775</v>
      </c>
    </row>
    <row r="39" spans="1:16" x14ac:dyDescent="0.25">
      <c r="A39" t="s">
        <v>50</v>
      </c>
      <c r="B39" s="2">
        <v>46107.303797468347</v>
      </c>
      <c r="C39" t="s">
        <v>129</v>
      </c>
      <c r="D39" t="s">
        <v>172</v>
      </c>
      <c r="E39" t="s">
        <v>178</v>
      </c>
      <c r="F39" t="s">
        <v>180</v>
      </c>
      <c r="G39">
        <v>1</v>
      </c>
      <c r="H39">
        <v>3311</v>
      </c>
      <c r="I39">
        <v>5</v>
      </c>
      <c r="J39" t="s">
        <v>184</v>
      </c>
      <c r="K39">
        <v>3145.45</v>
      </c>
      <c r="L39">
        <v>2349.71</v>
      </c>
      <c r="M39">
        <v>795.74</v>
      </c>
      <c r="N39" t="str">
        <f t="shared" si="0"/>
        <v>Mar</v>
      </c>
      <c r="O39">
        <f t="shared" si="1"/>
        <v>3</v>
      </c>
      <c r="P39" s="5">
        <f t="shared" si="2"/>
        <v>0.2529812904353908</v>
      </c>
    </row>
    <row r="40" spans="1:16" x14ac:dyDescent="0.25">
      <c r="A40" t="s">
        <v>51</v>
      </c>
      <c r="B40" s="2">
        <v>46109.582278481008</v>
      </c>
      <c r="C40" t="s">
        <v>130</v>
      </c>
      <c r="D40" t="s">
        <v>175</v>
      </c>
      <c r="E40" t="s">
        <v>177</v>
      </c>
      <c r="F40" t="s">
        <v>182</v>
      </c>
      <c r="G40">
        <v>1</v>
      </c>
      <c r="H40">
        <v>54816</v>
      </c>
      <c r="I40">
        <v>0</v>
      </c>
      <c r="J40" t="s">
        <v>183</v>
      </c>
      <c r="K40">
        <v>54816</v>
      </c>
      <c r="L40">
        <v>34482.6</v>
      </c>
      <c r="M40">
        <v>20333.400000000001</v>
      </c>
      <c r="N40" t="str">
        <f t="shared" si="0"/>
        <v>Mar</v>
      </c>
      <c r="O40">
        <f t="shared" si="1"/>
        <v>3</v>
      </c>
      <c r="P40" s="5">
        <f t="shared" si="2"/>
        <v>0.37093914185639232</v>
      </c>
    </row>
    <row r="41" spans="1:16" x14ac:dyDescent="0.25">
      <c r="A41" t="s">
        <v>52</v>
      </c>
      <c r="B41" s="2">
        <v>46111.860759493669</v>
      </c>
      <c r="C41" t="s">
        <v>131</v>
      </c>
      <c r="D41" t="s">
        <v>174</v>
      </c>
      <c r="E41" t="s">
        <v>178</v>
      </c>
      <c r="F41" t="s">
        <v>181</v>
      </c>
      <c r="G41">
        <v>2</v>
      </c>
      <c r="H41">
        <v>1171</v>
      </c>
      <c r="I41">
        <v>5</v>
      </c>
      <c r="J41" t="s">
        <v>186</v>
      </c>
      <c r="K41">
        <v>2224.9</v>
      </c>
      <c r="L41">
        <v>1546.13</v>
      </c>
      <c r="M41">
        <v>678.77</v>
      </c>
      <c r="N41" t="str">
        <f t="shared" si="0"/>
        <v>Mar</v>
      </c>
      <c r="O41">
        <f t="shared" si="1"/>
        <v>3</v>
      </c>
      <c r="P41" s="5">
        <f t="shared" si="2"/>
        <v>0.30507887994966065</v>
      </c>
    </row>
    <row r="42" spans="1:16" x14ac:dyDescent="0.25">
      <c r="A42" t="s">
        <v>53</v>
      </c>
      <c r="B42" s="2">
        <v>46114.139240506323</v>
      </c>
      <c r="C42" t="s">
        <v>132</v>
      </c>
      <c r="D42" t="s">
        <v>171</v>
      </c>
      <c r="E42" t="s">
        <v>177</v>
      </c>
      <c r="F42" t="s">
        <v>179</v>
      </c>
      <c r="G42">
        <v>1</v>
      </c>
      <c r="H42">
        <v>14019</v>
      </c>
      <c r="I42">
        <v>5</v>
      </c>
      <c r="J42" t="s">
        <v>184</v>
      </c>
      <c r="K42">
        <v>13318.05</v>
      </c>
      <c r="L42">
        <v>9924.24</v>
      </c>
      <c r="M42">
        <v>3393.81</v>
      </c>
      <c r="N42" t="str">
        <f t="shared" si="0"/>
        <v>Apr</v>
      </c>
      <c r="O42">
        <f t="shared" si="1"/>
        <v>4</v>
      </c>
      <c r="P42" s="5">
        <f t="shared" si="2"/>
        <v>0.25482784641895773</v>
      </c>
    </row>
    <row r="43" spans="1:16" x14ac:dyDescent="0.25">
      <c r="A43" t="s">
        <v>54</v>
      </c>
      <c r="B43" s="2">
        <v>46116.417721518977</v>
      </c>
      <c r="C43" t="s">
        <v>133</v>
      </c>
      <c r="D43" t="s">
        <v>175</v>
      </c>
      <c r="E43" t="s">
        <v>177</v>
      </c>
      <c r="F43" t="s">
        <v>180</v>
      </c>
      <c r="G43">
        <v>3</v>
      </c>
      <c r="H43">
        <v>54957</v>
      </c>
      <c r="I43">
        <v>5</v>
      </c>
      <c r="J43" t="s">
        <v>185</v>
      </c>
      <c r="K43">
        <v>156627.45000000001</v>
      </c>
      <c r="L43">
        <v>112870.01</v>
      </c>
      <c r="M43">
        <v>43757.440000000002</v>
      </c>
      <c r="N43" t="str">
        <f t="shared" si="0"/>
        <v>Apr</v>
      </c>
      <c r="O43">
        <f t="shared" si="1"/>
        <v>4</v>
      </c>
      <c r="P43" s="5">
        <f t="shared" si="2"/>
        <v>0.27937274085736569</v>
      </c>
    </row>
    <row r="44" spans="1:16" x14ac:dyDescent="0.25">
      <c r="A44" t="s">
        <v>55</v>
      </c>
      <c r="B44" s="2">
        <v>46118.696202531653</v>
      </c>
      <c r="C44" t="s">
        <v>134</v>
      </c>
      <c r="D44" t="s">
        <v>171</v>
      </c>
      <c r="E44" t="s">
        <v>177</v>
      </c>
      <c r="F44" t="s">
        <v>181</v>
      </c>
      <c r="G44">
        <v>4</v>
      </c>
      <c r="H44">
        <v>14276</v>
      </c>
      <c r="I44">
        <v>5</v>
      </c>
      <c r="J44" t="s">
        <v>184</v>
      </c>
      <c r="K44">
        <v>54248.800000000003</v>
      </c>
      <c r="L44">
        <v>42926.97</v>
      </c>
      <c r="M44">
        <v>11321.83</v>
      </c>
      <c r="N44" t="str">
        <f t="shared" si="0"/>
        <v>Apr</v>
      </c>
      <c r="O44">
        <f t="shared" si="1"/>
        <v>4</v>
      </c>
      <c r="P44" s="5">
        <f t="shared" si="2"/>
        <v>0.20870194363746294</v>
      </c>
    </row>
    <row r="45" spans="1:16" x14ac:dyDescent="0.25">
      <c r="A45" t="s">
        <v>56</v>
      </c>
      <c r="B45" s="2">
        <v>46120.974683544293</v>
      </c>
      <c r="C45" t="s">
        <v>135</v>
      </c>
      <c r="D45" t="s">
        <v>174</v>
      </c>
      <c r="E45" t="s">
        <v>178</v>
      </c>
      <c r="F45" t="s">
        <v>181</v>
      </c>
      <c r="G45">
        <v>1</v>
      </c>
      <c r="H45">
        <v>1045</v>
      </c>
      <c r="I45">
        <v>0</v>
      </c>
      <c r="J45" t="s">
        <v>184</v>
      </c>
      <c r="K45">
        <v>1045</v>
      </c>
      <c r="L45">
        <v>785.57</v>
      </c>
      <c r="M45">
        <v>259.43</v>
      </c>
      <c r="N45" t="str">
        <f t="shared" si="0"/>
        <v>Apr</v>
      </c>
      <c r="O45">
        <f t="shared" si="1"/>
        <v>4</v>
      </c>
      <c r="P45" s="5">
        <f t="shared" si="2"/>
        <v>0.24825837320574162</v>
      </c>
    </row>
    <row r="46" spans="1:16" x14ac:dyDescent="0.25">
      <c r="A46" t="s">
        <v>57</v>
      </c>
      <c r="B46" s="2">
        <v>46123.253164556947</v>
      </c>
      <c r="C46" t="s">
        <v>136</v>
      </c>
      <c r="D46" t="s">
        <v>174</v>
      </c>
      <c r="E46" t="s">
        <v>178</v>
      </c>
      <c r="F46" t="s">
        <v>192</v>
      </c>
      <c r="G46">
        <v>1</v>
      </c>
      <c r="H46">
        <v>1372</v>
      </c>
      <c r="I46">
        <v>15</v>
      </c>
      <c r="J46" t="s">
        <v>183</v>
      </c>
      <c r="K46">
        <v>1166.2</v>
      </c>
      <c r="L46">
        <v>761.05</v>
      </c>
      <c r="M46">
        <v>405.15</v>
      </c>
      <c r="N46" t="str">
        <f t="shared" si="0"/>
        <v>Apr</v>
      </c>
      <c r="O46">
        <f t="shared" si="1"/>
        <v>4</v>
      </c>
      <c r="P46" s="5">
        <f t="shared" si="2"/>
        <v>0.34741039272851992</v>
      </c>
    </row>
    <row r="47" spans="1:16" x14ac:dyDescent="0.25">
      <c r="A47" t="s">
        <v>58</v>
      </c>
      <c r="B47" s="2">
        <v>46125.531645569623</v>
      </c>
      <c r="C47" t="s">
        <v>137</v>
      </c>
      <c r="D47" t="s">
        <v>175</v>
      </c>
      <c r="E47" t="s">
        <v>177</v>
      </c>
      <c r="F47" t="s">
        <v>180</v>
      </c>
      <c r="G47">
        <v>2</v>
      </c>
      <c r="H47">
        <v>55317</v>
      </c>
      <c r="I47">
        <v>5</v>
      </c>
      <c r="J47" t="s">
        <v>183</v>
      </c>
      <c r="K47">
        <v>105102.3</v>
      </c>
      <c r="L47">
        <v>66646.81</v>
      </c>
      <c r="M47">
        <v>38455.49</v>
      </c>
      <c r="N47" t="str">
        <f t="shared" si="0"/>
        <v>Apr</v>
      </c>
      <c r="O47">
        <f t="shared" si="1"/>
        <v>4</v>
      </c>
      <c r="P47" s="5">
        <f t="shared" si="2"/>
        <v>0.36588628412508573</v>
      </c>
    </row>
    <row r="48" spans="1:16" x14ac:dyDescent="0.25">
      <c r="A48" t="s">
        <v>59</v>
      </c>
      <c r="B48" s="2">
        <v>46127.81012658227</v>
      </c>
      <c r="C48" t="s">
        <v>138</v>
      </c>
      <c r="D48" t="s">
        <v>174</v>
      </c>
      <c r="E48" t="s">
        <v>178</v>
      </c>
      <c r="F48" t="s">
        <v>180</v>
      </c>
      <c r="G48">
        <v>2</v>
      </c>
      <c r="H48">
        <v>1098</v>
      </c>
      <c r="I48">
        <v>5</v>
      </c>
      <c r="J48" t="s">
        <v>186</v>
      </c>
      <c r="K48">
        <v>2086.1999999999998</v>
      </c>
      <c r="L48">
        <v>1561.49</v>
      </c>
      <c r="M48">
        <v>524.71</v>
      </c>
      <c r="N48" t="str">
        <f t="shared" si="0"/>
        <v>Apr</v>
      </c>
      <c r="O48">
        <f t="shared" si="1"/>
        <v>4</v>
      </c>
      <c r="P48" s="5">
        <f t="shared" si="2"/>
        <v>0.25151471575112649</v>
      </c>
    </row>
    <row r="49" spans="1:16" x14ac:dyDescent="0.25">
      <c r="A49" t="s">
        <v>60</v>
      </c>
      <c r="B49" s="2">
        <v>46130.088607594931</v>
      </c>
      <c r="C49" t="s">
        <v>139</v>
      </c>
      <c r="D49" t="s">
        <v>172</v>
      </c>
      <c r="E49" t="s">
        <v>178</v>
      </c>
      <c r="F49" t="s">
        <v>179</v>
      </c>
      <c r="G49">
        <v>3</v>
      </c>
      <c r="H49">
        <v>2836</v>
      </c>
      <c r="I49">
        <v>10</v>
      </c>
      <c r="J49" t="s">
        <v>185</v>
      </c>
      <c r="K49">
        <v>7657.2</v>
      </c>
      <c r="L49">
        <v>4788.0600000000004</v>
      </c>
      <c r="M49">
        <v>2869.14</v>
      </c>
      <c r="N49" t="str">
        <f t="shared" si="0"/>
        <v>Apr</v>
      </c>
      <c r="O49">
        <f t="shared" si="1"/>
        <v>4</v>
      </c>
      <c r="P49" s="5">
        <f t="shared" si="2"/>
        <v>0.3746983231468422</v>
      </c>
    </row>
    <row r="50" spans="1:16" x14ac:dyDescent="0.25">
      <c r="A50" t="s">
        <v>61</v>
      </c>
      <c r="B50" s="2">
        <v>46132.367088607592</v>
      </c>
      <c r="C50" t="s">
        <v>140</v>
      </c>
      <c r="D50" t="s">
        <v>174</v>
      </c>
      <c r="E50" t="s">
        <v>178</v>
      </c>
      <c r="F50" t="s">
        <v>180</v>
      </c>
      <c r="G50">
        <v>4</v>
      </c>
      <c r="H50">
        <v>1279</v>
      </c>
      <c r="I50">
        <v>5</v>
      </c>
      <c r="J50" t="s">
        <v>183</v>
      </c>
      <c r="K50">
        <v>4860.2</v>
      </c>
      <c r="L50">
        <v>3582.72</v>
      </c>
      <c r="M50">
        <v>1277.48</v>
      </c>
      <c r="N50" t="str">
        <f t="shared" si="0"/>
        <v>Apr</v>
      </c>
      <c r="O50">
        <f t="shared" si="1"/>
        <v>4</v>
      </c>
      <c r="P50" s="5">
        <f t="shared" si="2"/>
        <v>0.26284515040533313</v>
      </c>
    </row>
    <row r="51" spans="1:16" x14ac:dyDescent="0.25">
      <c r="A51" t="s">
        <v>62</v>
      </c>
      <c r="B51" s="2">
        <v>46134.645569620247</v>
      </c>
      <c r="C51" t="s">
        <v>141</v>
      </c>
      <c r="D51" t="s">
        <v>171</v>
      </c>
      <c r="E51" t="s">
        <v>177</v>
      </c>
      <c r="F51" t="s">
        <v>179</v>
      </c>
      <c r="G51">
        <v>2</v>
      </c>
      <c r="H51">
        <v>14148</v>
      </c>
      <c r="I51">
        <v>10</v>
      </c>
      <c r="J51" t="s">
        <v>184</v>
      </c>
      <c r="K51">
        <v>25466.400000000001</v>
      </c>
      <c r="L51">
        <v>20578.02</v>
      </c>
      <c r="M51">
        <v>4888.38</v>
      </c>
      <c r="N51" t="str">
        <f t="shared" si="0"/>
        <v>Apr</v>
      </c>
      <c r="O51">
        <f t="shared" si="1"/>
        <v>4</v>
      </c>
      <c r="P51" s="5">
        <f t="shared" si="2"/>
        <v>0.19195410423145792</v>
      </c>
    </row>
    <row r="52" spans="1:16" x14ac:dyDescent="0.25">
      <c r="A52" t="s">
        <v>63</v>
      </c>
      <c r="B52" s="2">
        <v>46136.924050632908</v>
      </c>
      <c r="C52" t="s">
        <v>142</v>
      </c>
      <c r="D52" t="s">
        <v>171</v>
      </c>
      <c r="E52" t="s">
        <v>177</v>
      </c>
      <c r="F52" t="s">
        <v>180</v>
      </c>
      <c r="G52">
        <v>1</v>
      </c>
      <c r="H52">
        <v>14296</v>
      </c>
      <c r="I52">
        <v>15</v>
      </c>
      <c r="J52" t="s">
        <v>186</v>
      </c>
      <c r="K52">
        <v>12151.6</v>
      </c>
      <c r="L52">
        <v>8932.58</v>
      </c>
      <c r="M52">
        <v>3219.02</v>
      </c>
      <c r="N52" t="str">
        <f t="shared" si="0"/>
        <v>Apr</v>
      </c>
      <c r="O52">
        <f t="shared" si="1"/>
        <v>4</v>
      </c>
      <c r="P52" s="5">
        <f t="shared" si="2"/>
        <v>0.26490503308206326</v>
      </c>
    </row>
    <row r="53" spans="1:16" x14ac:dyDescent="0.25">
      <c r="A53" t="s">
        <v>64</v>
      </c>
      <c r="B53" s="2">
        <v>46139.202531645569</v>
      </c>
      <c r="C53" t="s">
        <v>143</v>
      </c>
      <c r="D53" t="s">
        <v>171</v>
      </c>
      <c r="E53" t="s">
        <v>177</v>
      </c>
      <c r="F53" t="s">
        <v>182</v>
      </c>
      <c r="G53">
        <v>4</v>
      </c>
      <c r="H53">
        <v>14101</v>
      </c>
      <c r="I53">
        <v>0</v>
      </c>
      <c r="J53" t="s">
        <v>184</v>
      </c>
      <c r="K53">
        <v>56404</v>
      </c>
      <c r="L53">
        <v>39349.35</v>
      </c>
      <c r="M53">
        <v>17054.650000000001</v>
      </c>
      <c r="N53" t="str">
        <f t="shared" si="0"/>
        <v>Apr</v>
      </c>
      <c r="O53">
        <f t="shared" si="1"/>
        <v>4</v>
      </c>
      <c r="P53" s="5">
        <f t="shared" si="2"/>
        <v>0.30236596695269841</v>
      </c>
    </row>
    <row r="54" spans="1:16" x14ac:dyDescent="0.25">
      <c r="A54" t="s">
        <v>65</v>
      </c>
      <c r="B54" s="2">
        <v>46141.481012658223</v>
      </c>
      <c r="C54" t="s">
        <v>144</v>
      </c>
      <c r="D54" t="s">
        <v>171</v>
      </c>
      <c r="E54" t="s">
        <v>177</v>
      </c>
      <c r="F54" t="s">
        <v>180</v>
      </c>
      <c r="G54">
        <v>4</v>
      </c>
      <c r="H54">
        <v>13980</v>
      </c>
      <c r="I54">
        <v>0</v>
      </c>
      <c r="J54" t="s">
        <v>184</v>
      </c>
      <c r="K54">
        <v>55920</v>
      </c>
      <c r="L54">
        <v>41864.94</v>
      </c>
      <c r="M54">
        <v>14055.06</v>
      </c>
      <c r="N54" t="str">
        <f t="shared" si="0"/>
        <v>Apr</v>
      </c>
      <c r="O54">
        <f t="shared" si="1"/>
        <v>4</v>
      </c>
      <c r="P54" s="5">
        <f t="shared" si="2"/>
        <v>0.2513422746781116</v>
      </c>
    </row>
    <row r="55" spans="1:16" x14ac:dyDescent="0.25">
      <c r="A55" t="s">
        <v>66</v>
      </c>
      <c r="B55" s="2">
        <v>46143.759493670877</v>
      </c>
      <c r="C55" t="s">
        <v>145</v>
      </c>
      <c r="D55" t="s">
        <v>172</v>
      </c>
      <c r="E55" t="s">
        <v>178</v>
      </c>
      <c r="F55" t="s">
        <v>179</v>
      </c>
      <c r="G55">
        <v>1</v>
      </c>
      <c r="H55">
        <v>3406</v>
      </c>
      <c r="I55">
        <v>15</v>
      </c>
      <c r="J55" t="s">
        <v>183</v>
      </c>
      <c r="K55">
        <v>2895.1</v>
      </c>
      <c r="L55">
        <v>2060.3000000000002</v>
      </c>
      <c r="M55">
        <v>834.8</v>
      </c>
      <c r="N55" t="str">
        <f t="shared" si="0"/>
        <v>May</v>
      </c>
      <c r="O55">
        <f t="shared" si="1"/>
        <v>5</v>
      </c>
      <c r="P55" s="5">
        <f t="shared" si="2"/>
        <v>0.28834927981762287</v>
      </c>
    </row>
    <row r="56" spans="1:16" x14ac:dyDescent="0.25">
      <c r="A56" t="s">
        <v>67</v>
      </c>
      <c r="B56" s="2">
        <v>46146.037974683539</v>
      </c>
      <c r="C56" t="s">
        <v>146</v>
      </c>
      <c r="D56" t="s">
        <v>173</v>
      </c>
      <c r="E56" t="s">
        <v>178</v>
      </c>
      <c r="F56" t="s">
        <v>179</v>
      </c>
      <c r="G56">
        <v>2</v>
      </c>
      <c r="H56">
        <v>2098</v>
      </c>
      <c r="I56">
        <v>0</v>
      </c>
      <c r="J56" t="s">
        <v>186</v>
      </c>
      <c r="K56">
        <v>4196</v>
      </c>
      <c r="L56">
        <v>3059.4</v>
      </c>
      <c r="M56">
        <v>1136.5999999999999</v>
      </c>
      <c r="N56" t="str">
        <f t="shared" si="0"/>
        <v>May</v>
      </c>
      <c r="O56">
        <f t="shared" si="1"/>
        <v>5</v>
      </c>
      <c r="P56" s="5">
        <f t="shared" si="2"/>
        <v>0.27087702573879885</v>
      </c>
    </row>
    <row r="57" spans="1:16" x14ac:dyDescent="0.25">
      <c r="A57" t="s">
        <v>68</v>
      </c>
      <c r="B57" s="2">
        <v>46148.316455696193</v>
      </c>
      <c r="C57" t="s">
        <v>147</v>
      </c>
      <c r="D57" t="s">
        <v>175</v>
      </c>
      <c r="E57" t="s">
        <v>177</v>
      </c>
      <c r="F57" t="s">
        <v>182</v>
      </c>
      <c r="G57">
        <v>1</v>
      </c>
      <c r="H57">
        <v>55499</v>
      </c>
      <c r="I57">
        <v>15</v>
      </c>
      <c r="J57" t="s">
        <v>187</v>
      </c>
      <c r="K57">
        <v>47174.15</v>
      </c>
      <c r="L57">
        <v>38130.53</v>
      </c>
      <c r="M57">
        <v>9043.6200000000008</v>
      </c>
      <c r="N57" t="str">
        <f t="shared" si="0"/>
        <v>May</v>
      </c>
      <c r="O57">
        <f t="shared" si="1"/>
        <v>5</v>
      </c>
      <c r="P57" s="5">
        <f t="shared" si="2"/>
        <v>0.19170711077995048</v>
      </c>
    </row>
    <row r="58" spans="1:16" x14ac:dyDescent="0.25">
      <c r="A58" t="s">
        <v>69</v>
      </c>
      <c r="B58" s="2">
        <v>46150.594936708847</v>
      </c>
      <c r="C58" t="s">
        <v>148</v>
      </c>
      <c r="D58" t="s">
        <v>171</v>
      </c>
      <c r="E58" t="s">
        <v>177</v>
      </c>
      <c r="F58" t="s">
        <v>180</v>
      </c>
      <c r="G58">
        <v>4</v>
      </c>
      <c r="H58">
        <v>13915</v>
      </c>
      <c r="I58">
        <v>15</v>
      </c>
      <c r="J58" t="s">
        <v>185</v>
      </c>
      <c r="K58">
        <v>47311</v>
      </c>
      <c r="L58">
        <v>32986.199999999997</v>
      </c>
      <c r="M58">
        <v>14324.8</v>
      </c>
      <c r="N58" t="str">
        <f t="shared" si="0"/>
        <v>May</v>
      </c>
      <c r="O58">
        <f t="shared" si="1"/>
        <v>5</v>
      </c>
      <c r="P58" s="5">
        <f t="shared" si="2"/>
        <v>0.30277948045908981</v>
      </c>
    </row>
    <row r="59" spans="1:16" x14ac:dyDescent="0.25">
      <c r="A59" t="s">
        <v>70</v>
      </c>
      <c r="B59" s="2">
        <v>46152.873417721523</v>
      </c>
      <c r="C59" t="s">
        <v>149</v>
      </c>
      <c r="D59" t="s">
        <v>174</v>
      </c>
      <c r="E59" t="s">
        <v>178</v>
      </c>
      <c r="F59" t="s">
        <v>180</v>
      </c>
      <c r="G59">
        <v>5</v>
      </c>
      <c r="H59">
        <v>1190</v>
      </c>
      <c r="I59">
        <v>15</v>
      </c>
      <c r="J59" t="s">
        <v>183</v>
      </c>
      <c r="K59">
        <v>5057.5</v>
      </c>
      <c r="L59">
        <v>4107.8900000000003</v>
      </c>
      <c r="M59">
        <v>949.61</v>
      </c>
      <c r="N59" t="str">
        <f t="shared" si="0"/>
        <v>May</v>
      </c>
      <c r="O59">
        <f t="shared" si="1"/>
        <v>5</v>
      </c>
      <c r="P59" s="5">
        <f t="shared" si="2"/>
        <v>0.1877627286208601</v>
      </c>
    </row>
    <row r="60" spans="1:16" x14ac:dyDescent="0.25">
      <c r="A60" t="s">
        <v>71</v>
      </c>
      <c r="B60" s="2">
        <v>46155.15189873417</v>
      </c>
      <c r="C60" t="s">
        <v>150</v>
      </c>
      <c r="D60" t="s">
        <v>171</v>
      </c>
      <c r="E60" t="s">
        <v>177</v>
      </c>
      <c r="F60" t="s">
        <v>182</v>
      </c>
      <c r="G60">
        <v>5</v>
      </c>
      <c r="H60">
        <v>14052</v>
      </c>
      <c r="I60">
        <v>0</v>
      </c>
      <c r="J60" t="s">
        <v>183</v>
      </c>
      <c r="K60">
        <v>70260</v>
      </c>
      <c r="L60">
        <v>56283.19</v>
      </c>
      <c r="M60">
        <v>13976.81</v>
      </c>
      <c r="N60" t="str">
        <f t="shared" si="0"/>
        <v>May</v>
      </c>
      <c r="O60">
        <f t="shared" si="1"/>
        <v>5</v>
      </c>
      <c r="P60" s="5">
        <f t="shared" si="2"/>
        <v>0.19892983205237688</v>
      </c>
    </row>
    <row r="61" spans="1:16" x14ac:dyDescent="0.25">
      <c r="A61" t="s">
        <v>72</v>
      </c>
      <c r="B61" s="2">
        <v>46157.430379746831</v>
      </c>
      <c r="C61" t="s">
        <v>151</v>
      </c>
      <c r="D61" t="s">
        <v>174</v>
      </c>
      <c r="E61" t="s">
        <v>178</v>
      </c>
      <c r="F61" t="s">
        <v>180</v>
      </c>
      <c r="G61">
        <v>3</v>
      </c>
      <c r="H61">
        <v>1160</v>
      </c>
      <c r="I61">
        <v>10</v>
      </c>
      <c r="J61" t="s">
        <v>186</v>
      </c>
      <c r="K61">
        <v>3132</v>
      </c>
      <c r="L61">
        <v>2064.48</v>
      </c>
      <c r="M61">
        <v>1067.52</v>
      </c>
      <c r="N61" t="str">
        <f t="shared" si="0"/>
        <v>May</v>
      </c>
      <c r="O61">
        <f t="shared" si="1"/>
        <v>5</v>
      </c>
      <c r="P61" s="5">
        <f t="shared" si="2"/>
        <v>0.34084291187739463</v>
      </c>
    </row>
    <row r="62" spans="1:16" x14ac:dyDescent="0.25">
      <c r="A62" t="s">
        <v>73</v>
      </c>
      <c r="B62" s="2">
        <v>46159.708860759492</v>
      </c>
      <c r="C62" t="s">
        <v>152</v>
      </c>
      <c r="D62" t="s">
        <v>174</v>
      </c>
      <c r="E62" t="s">
        <v>178</v>
      </c>
      <c r="F62" t="s">
        <v>180</v>
      </c>
      <c r="G62">
        <v>1</v>
      </c>
      <c r="H62">
        <v>1255</v>
      </c>
      <c r="I62">
        <v>15</v>
      </c>
      <c r="J62" t="s">
        <v>185</v>
      </c>
      <c r="K62">
        <v>1066.75</v>
      </c>
      <c r="L62">
        <v>676.18</v>
      </c>
      <c r="M62">
        <v>390.57</v>
      </c>
      <c r="N62" t="str">
        <f t="shared" si="0"/>
        <v>May</v>
      </c>
      <c r="O62">
        <f t="shared" si="1"/>
        <v>5</v>
      </c>
      <c r="P62" s="5">
        <f t="shared" si="2"/>
        <v>0.36613077103351299</v>
      </c>
    </row>
    <row r="63" spans="1:16" x14ac:dyDescent="0.25">
      <c r="A63" t="s">
        <v>74</v>
      </c>
      <c r="B63" s="2">
        <v>46161.987341772139</v>
      </c>
      <c r="C63" t="s">
        <v>153</v>
      </c>
      <c r="D63" t="s">
        <v>171</v>
      </c>
      <c r="E63" t="s">
        <v>177</v>
      </c>
      <c r="F63" t="s">
        <v>179</v>
      </c>
      <c r="G63">
        <v>1</v>
      </c>
      <c r="H63">
        <v>14122</v>
      </c>
      <c r="I63">
        <v>5</v>
      </c>
      <c r="J63" t="s">
        <v>185</v>
      </c>
      <c r="K63">
        <v>13415.9</v>
      </c>
      <c r="L63">
        <v>8588.26</v>
      </c>
      <c r="M63">
        <v>4827.6400000000003</v>
      </c>
      <c r="N63" t="str">
        <f t="shared" si="0"/>
        <v>May</v>
      </c>
      <c r="O63">
        <f t="shared" si="1"/>
        <v>5</v>
      </c>
      <c r="P63" s="5">
        <f t="shared" si="2"/>
        <v>0.35984466193099235</v>
      </c>
    </row>
    <row r="64" spans="1:16" x14ac:dyDescent="0.25">
      <c r="A64" t="s">
        <v>75</v>
      </c>
      <c r="B64" s="2">
        <v>46164.265822784801</v>
      </c>
      <c r="C64" t="s">
        <v>154</v>
      </c>
      <c r="D64" t="s">
        <v>172</v>
      </c>
      <c r="E64" t="s">
        <v>178</v>
      </c>
      <c r="F64" t="s">
        <v>180</v>
      </c>
      <c r="G64">
        <v>3</v>
      </c>
      <c r="H64">
        <v>2927</v>
      </c>
      <c r="I64">
        <v>0</v>
      </c>
      <c r="J64" t="s">
        <v>185</v>
      </c>
      <c r="K64">
        <v>8781</v>
      </c>
      <c r="L64">
        <v>5476.22</v>
      </c>
      <c r="M64">
        <v>3304.78</v>
      </c>
      <c r="N64" t="str">
        <f t="shared" si="0"/>
        <v>May</v>
      </c>
      <c r="O64">
        <f t="shared" si="1"/>
        <v>5</v>
      </c>
      <c r="P64" s="5">
        <f t="shared" si="2"/>
        <v>0.37635576813574767</v>
      </c>
    </row>
    <row r="65" spans="1:16" x14ac:dyDescent="0.25">
      <c r="A65" t="s">
        <v>76</v>
      </c>
      <c r="B65" s="2">
        <v>46166.544303797462</v>
      </c>
      <c r="C65" t="s">
        <v>155</v>
      </c>
      <c r="D65" t="s">
        <v>174</v>
      </c>
      <c r="E65" t="s">
        <v>178</v>
      </c>
      <c r="F65" t="s">
        <v>180</v>
      </c>
      <c r="G65">
        <v>3</v>
      </c>
      <c r="H65">
        <v>1017</v>
      </c>
      <c r="I65">
        <v>15</v>
      </c>
      <c r="J65" t="s">
        <v>184</v>
      </c>
      <c r="K65">
        <v>2593.35</v>
      </c>
      <c r="L65">
        <v>1656.86</v>
      </c>
      <c r="M65">
        <v>936.49</v>
      </c>
      <c r="N65" t="str">
        <f t="shared" si="0"/>
        <v>May</v>
      </c>
      <c r="O65">
        <f t="shared" si="1"/>
        <v>5</v>
      </c>
      <c r="P65" s="5">
        <f t="shared" si="2"/>
        <v>0.36111207511519849</v>
      </c>
    </row>
    <row r="66" spans="1:16" x14ac:dyDescent="0.25">
      <c r="A66" t="s">
        <v>77</v>
      </c>
      <c r="B66" s="2">
        <v>46168.822784810123</v>
      </c>
      <c r="C66" t="s">
        <v>156</v>
      </c>
      <c r="D66" t="s">
        <v>174</v>
      </c>
      <c r="E66" t="s">
        <v>178</v>
      </c>
      <c r="F66" t="s">
        <v>182</v>
      </c>
      <c r="G66">
        <v>3</v>
      </c>
      <c r="H66">
        <v>1565</v>
      </c>
      <c r="I66">
        <v>15</v>
      </c>
      <c r="J66" t="s">
        <v>185</v>
      </c>
      <c r="K66">
        <v>3990.75</v>
      </c>
      <c r="L66">
        <v>3019.41</v>
      </c>
      <c r="M66">
        <v>971.34</v>
      </c>
      <c r="N66" t="str">
        <f t="shared" si="0"/>
        <v>May</v>
      </c>
      <c r="O66">
        <f t="shared" si="1"/>
        <v>5</v>
      </c>
      <c r="P66" s="5">
        <f t="shared" si="2"/>
        <v>0.24339785754557414</v>
      </c>
    </row>
    <row r="67" spans="1:16" x14ac:dyDescent="0.25">
      <c r="A67" t="s">
        <v>78</v>
      </c>
      <c r="B67" s="2">
        <v>46171.101265822777</v>
      </c>
      <c r="C67" t="s">
        <v>157</v>
      </c>
      <c r="D67" t="s">
        <v>171</v>
      </c>
      <c r="E67" t="s">
        <v>177</v>
      </c>
      <c r="F67" t="s">
        <v>182</v>
      </c>
      <c r="G67">
        <v>4</v>
      </c>
      <c r="H67">
        <v>14369</v>
      </c>
      <c r="I67">
        <v>5</v>
      </c>
      <c r="J67" t="s">
        <v>184</v>
      </c>
      <c r="K67">
        <v>54602.2</v>
      </c>
      <c r="L67">
        <v>34630.78</v>
      </c>
      <c r="M67">
        <v>19971.419999999998</v>
      </c>
      <c r="N67" t="str">
        <f t="shared" ref="N67:N81" si="3">TEXT(B67,"mmm")</f>
        <v>May</v>
      </c>
      <c r="O67">
        <f t="shared" ref="O67:O81" si="4">MONTH(B67)</f>
        <v>5</v>
      </c>
      <c r="P67" s="5">
        <f t="shared" ref="P67:P81" si="5">M67/K67</f>
        <v>0.36576218540644884</v>
      </c>
    </row>
    <row r="68" spans="1:16" x14ac:dyDescent="0.25">
      <c r="A68" t="s">
        <v>79</v>
      </c>
      <c r="B68" s="2">
        <v>46173.379746835439</v>
      </c>
      <c r="C68" t="s">
        <v>158</v>
      </c>
      <c r="D68" t="s">
        <v>174</v>
      </c>
      <c r="E68" t="s">
        <v>178</v>
      </c>
      <c r="F68" t="s">
        <v>181</v>
      </c>
      <c r="G68">
        <v>1</v>
      </c>
      <c r="H68">
        <f>K68/G68/(1-I68/100)</f>
        <v>1322</v>
      </c>
      <c r="I68">
        <v>10</v>
      </c>
      <c r="J68" t="s">
        <v>186</v>
      </c>
      <c r="K68">
        <v>1189.8</v>
      </c>
      <c r="L68">
        <v>813.58</v>
      </c>
      <c r="M68">
        <v>376.22</v>
      </c>
      <c r="N68" t="str">
        <f t="shared" si="3"/>
        <v>May</v>
      </c>
      <c r="O68">
        <f t="shared" si="4"/>
        <v>5</v>
      </c>
      <c r="P68" s="5">
        <f t="shared" si="5"/>
        <v>0.31620440410152972</v>
      </c>
    </row>
    <row r="69" spans="1:16" x14ac:dyDescent="0.25">
      <c r="A69" t="s">
        <v>80</v>
      </c>
      <c r="B69" s="2">
        <v>46175.658227848093</v>
      </c>
      <c r="C69" t="s">
        <v>159</v>
      </c>
      <c r="D69" t="s">
        <v>174</v>
      </c>
      <c r="E69" t="s">
        <v>178</v>
      </c>
      <c r="F69" t="s">
        <v>179</v>
      </c>
      <c r="G69">
        <v>4</v>
      </c>
      <c r="H69">
        <v>1685</v>
      </c>
      <c r="I69">
        <v>10</v>
      </c>
      <c r="J69" t="s">
        <v>184</v>
      </c>
      <c r="K69">
        <v>6066</v>
      </c>
      <c r="L69">
        <v>4785.92</v>
      </c>
      <c r="M69">
        <v>1280.08</v>
      </c>
      <c r="N69" t="str">
        <f t="shared" si="3"/>
        <v>Jun</v>
      </c>
      <c r="O69">
        <f t="shared" si="4"/>
        <v>6</v>
      </c>
      <c r="P69" s="5">
        <f t="shared" si="5"/>
        <v>0.21102538740520935</v>
      </c>
    </row>
    <row r="70" spans="1:16" x14ac:dyDescent="0.25">
      <c r="A70" t="s">
        <v>81</v>
      </c>
      <c r="B70" s="2">
        <v>46177.936708860747</v>
      </c>
      <c r="C70" t="s">
        <v>160</v>
      </c>
      <c r="D70" t="s">
        <v>171</v>
      </c>
      <c r="E70" t="s">
        <v>177</v>
      </c>
      <c r="F70" t="s">
        <v>180</v>
      </c>
      <c r="G70">
        <v>3</v>
      </c>
      <c r="H70">
        <v>14425</v>
      </c>
      <c r="I70">
        <v>10</v>
      </c>
      <c r="J70" t="s">
        <v>186</v>
      </c>
      <c r="K70">
        <v>38947.5</v>
      </c>
      <c r="L70">
        <v>24328.73</v>
      </c>
      <c r="M70">
        <v>14618.77</v>
      </c>
      <c r="N70" t="str">
        <f t="shared" si="3"/>
        <v>Jun</v>
      </c>
      <c r="O70">
        <f t="shared" si="4"/>
        <v>6</v>
      </c>
      <c r="P70" s="5">
        <f t="shared" si="5"/>
        <v>0.3753455292380769</v>
      </c>
    </row>
    <row r="71" spans="1:16" x14ac:dyDescent="0.25">
      <c r="A71" t="s">
        <v>82</v>
      </c>
      <c r="B71" s="2">
        <v>46180.215189873423</v>
      </c>
      <c r="C71" t="s">
        <v>161</v>
      </c>
      <c r="D71" t="s">
        <v>171</v>
      </c>
      <c r="E71" t="s">
        <v>177</v>
      </c>
      <c r="F71" t="s">
        <v>180</v>
      </c>
      <c r="G71">
        <v>1</v>
      </c>
      <c r="H71">
        <v>14087</v>
      </c>
      <c r="I71">
        <v>15</v>
      </c>
      <c r="J71" t="s">
        <v>185</v>
      </c>
      <c r="K71">
        <v>11973.95</v>
      </c>
      <c r="L71">
        <v>9374.33</v>
      </c>
      <c r="M71">
        <v>2599.62</v>
      </c>
      <c r="N71" t="str">
        <f t="shared" si="3"/>
        <v>Jun</v>
      </c>
      <c r="O71">
        <f t="shared" si="4"/>
        <v>6</v>
      </c>
      <c r="P71" s="5">
        <f t="shared" si="5"/>
        <v>0.21710630159638211</v>
      </c>
    </row>
    <row r="72" spans="1:16" x14ac:dyDescent="0.25">
      <c r="A72" t="s">
        <v>83</v>
      </c>
      <c r="B72" s="2">
        <v>46182.493670886062</v>
      </c>
      <c r="C72" t="s">
        <v>103</v>
      </c>
      <c r="D72" t="s">
        <v>175</v>
      </c>
      <c r="E72" t="s">
        <v>177</v>
      </c>
      <c r="F72" t="s">
        <v>181</v>
      </c>
      <c r="G72">
        <v>4</v>
      </c>
      <c r="H72">
        <v>55462</v>
      </c>
      <c r="I72">
        <v>15</v>
      </c>
      <c r="J72" t="s">
        <v>185</v>
      </c>
      <c r="K72">
        <v>188570.8</v>
      </c>
      <c r="L72">
        <v>127543.81</v>
      </c>
      <c r="M72">
        <v>61026.99</v>
      </c>
      <c r="N72" t="str">
        <f t="shared" si="3"/>
        <v>Jun</v>
      </c>
      <c r="O72">
        <f t="shared" si="4"/>
        <v>6</v>
      </c>
      <c r="P72" s="5">
        <f t="shared" si="5"/>
        <v>0.32362905603624742</v>
      </c>
    </row>
    <row r="73" spans="1:16" x14ac:dyDescent="0.25">
      <c r="A73" t="s">
        <v>84</v>
      </c>
      <c r="B73" s="2">
        <v>46184.772151898716</v>
      </c>
      <c r="C73" t="s">
        <v>162</v>
      </c>
      <c r="D73" t="s">
        <v>172</v>
      </c>
      <c r="E73" t="s">
        <v>178</v>
      </c>
      <c r="F73" t="s">
        <v>180</v>
      </c>
      <c r="G73">
        <v>4</v>
      </c>
      <c r="H73">
        <v>3438</v>
      </c>
      <c r="I73">
        <v>15</v>
      </c>
      <c r="J73" t="s">
        <v>186</v>
      </c>
      <c r="K73">
        <v>11689.2</v>
      </c>
      <c r="L73">
        <v>7523.55</v>
      </c>
      <c r="M73">
        <v>4165.6499999999996</v>
      </c>
      <c r="N73" t="str">
        <f t="shared" si="3"/>
        <v>Jun</v>
      </c>
      <c r="O73">
        <f t="shared" si="4"/>
        <v>6</v>
      </c>
      <c r="P73" s="5">
        <f t="shared" si="5"/>
        <v>0.35636741607637812</v>
      </c>
    </row>
    <row r="74" spans="1:16" x14ac:dyDescent="0.25">
      <c r="A74" t="s">
        <v>85</v>
      </c>
      <c r="B74" s="2">
        <v>46187.050632911392</v>
      </c>
      <c r="C74" t="s">
        <v>163</v>
      </c>
      <c r="D74" t="s">
        <v>172</v>
      </c>
      <c r="E74" t="s">
        <v>178</v>
      </c>
      <c r="F74" t="s">
        <v>179</v>
      </c>
      <c r="G74">
        <v>3</v>
      </c>
      <c r="H74">
        <v>2954</v>
      </c>
      <c r="I74">
        <v>0</v>
      </c>
      <c r="J74" t="s">
        <v>183</v>
      </c>
      <c r="K74">
        <v>8862</v>
      </c>
      <c r="L74">
        <v>6729.34</v>
      </c>
      <c r="M74">
        <v>2132.66</v>
      </c>
      <c r="N74" t="str">
        <f t="shared" si="3"/>
        <v>Jun</v>
      </c>
      <c r="O74">
        <f t="shared" si="4"/>
        <v>6</v>
      </c>
      <c r="P74" s="5">
        <f t="shared" si="5"/>
        <v>0.24065222297449784</v>
      </c>
    </row>
    <row r="75" spans="1:16" x14ac:dyDescent="0.25">
      <c r="A75" t="s">
        <v>86</v>
      </c>
      <c r="B75" s="2">
        <v>46189.329113924039</v>
      </c>
      <c r="C75" t="s">
        <v>164</v>
      </c>
      <c r="D75" t="s">
        <v>174</v>
      </c>
      <c r="E75" t="s">
        <v>178</v>
      </c>
      <c r="F75" t="s">
        <v>181</v>
      </c>
      <c r="G75">
        <v>1</v>
      </c>
      <c r="H75">
        <v>1489</v>
      </c>
      <c r="I75">
        <v>5</v>
      </c>
      <c r="J75" t="s">
        <v>186</v>
      </c>
      <c r="K75">
        <v>1414.55</v>
      </c>
      <c r="L75">
        <v>1054.96</v>
      </c>
      <c r="M75">
        <v>359.59</v>
      </c>
      <c r="N75" t="str">
        <f t="shared" si="3"/>
        <v>Jun</v>
      </c>
      <c r="O75">
        <f t="shared" si="4"/>
        <v>6</v>
      </c>
      <c r="P75" s="5">
        <f t="shared" si="5"/>
        <v>0.25420805203068114</v>
      </c>
    </row>
    <row r="76" spans="1:16" x14ac:dyDescent="0.25">
      <c r="A76" t="s">
        <v>87</v>
      </c>
      <c r="B76" s="2">
        <v>46191.6075949367</v>
      </c>
      <c r="C76" t="s">
        <v>165</v>
      </c>
      <c r="D76" t="s">
        <v>172</v>
      </c>
      <c r="E76" t="s">
        <v>178</v>
      </c>
      <c r="F76" t="s">
        <v>179</v>
      </c>
      <c r="G76">
        <v>3</v>
      </c>
      <c r="H76">
        <v>3185</v>
      </c>
      <c r="I76">
        <v>15</v>
      </c>
      <c r="J76" t="s">
        <v>183</v>
      </c>
      <c r="K76">
        <v>8121.75</v>
      </c>
      <c r="L76">
        <v>6460.81</v>
      </c>
      <c r="M76">
        <v>1660.94</v>
      </c>
      <c r="N76" t="str">
        <f t="shared" si="3"/>
        <v>Jun</v>
      </c>
      <c r="O76">
        <f t="shared" si="4"/>
        <v>6</v>
      </c>
      <c r="P76" s="5">
        <f t="shared" si="5"/>
        <v>0.20450518669006065</v>
      </c>
    </row>
    <row r="77" spans="1:16" x14ac:dyDescent="0.25">
      <c r="A77" t="s">
        <v>88</v>
      </c>
      <c r="B77" s="2">
        <v>46193.886075949362</v>
      </c>
      <c r="C77" t="s">
        <v>166</v>
      </c>
      <c r="D77" t="s">
        <v>174</v>
      </c>
      <c r="E77" t="s">
        <v>178</v>
      </c>
      <c r="F77" t="s">
        <v>181</v>
      </c>
      <c r="G77">
        <v>1</v>
      </c>
      <c r="H77">
        <v>1103</v>
      </c>
      <c r="I77">
        <v>5</v>
      </c>
      <c r="J77" t="s">
        <v>184</v>
      </c>
      <c r="K77">
        <v>1047.8499999999999</v>
      </c>
      <c r="L77">
        <v>803.72</v>
      </c>
      <c r="M77">
        <v>244.13</v>
      </c>
      <c r="N77" t="str">
        <f t="shared" si="3"/>
        <v>Jun</v>
      </c>
      <c r="O77">
        <f t="shared" si="4"/>
        <v>6</v>
      </c>
      <c r="P77" s="5">
        <f t="shared" si="5"/>
        <v>0.23298181991697287</v>
      </c>
    </row>
    <row r="78" spans="1:16" x14ac:dyDescent="0.25">
      <c r="A78" t="s">
        <v>89</v>
      </c>
      <c r="B78" s="2">
        <v>46196.164556962023</v>
      </c>
      <c r="C78" t="s">
        <v>167</v>
      </c>
      <c r="D78" t="s">
        <v>175</v>
      </c>
      <c r="E78" t="s">
        <v>177</v>
      </c>
      <c r="F78" t="s">
        <v>181</v>
      </c>
      <c r="G78">
        <v>5</v>
      </c>
      <c r="H78">
        <v>55192</v>
      </c>
      <c r="I78">
        <v>5</v>
      </c>
      <c r="J78" t="s">
        <v>184</v>
      </c>
      <c r="K78">
        <v>262162</v>
      </c>
      <c r="L78">
        <v>204668.87</v>
      </c>
      <c r="M78">
        <v>57493.13</v>
      </c>
      <c r="N78" t="str">
        <f t="shared" si="3"/>
        <v>Jun</v>
      </c>
      <c r="O78">
        <f t="shared" si="4"/>
        <v>6</v>
      </c>
      <c r="P78" s="5">
        <f t="shared" si="5"/>
        <v>0.2193038274044293</v>
      </c>
    </row>
    <row r="79" spans="1:16" x14ac:dyDescent="0.25">
      <c r="A79" t="s">
        <v>90</v>
      </c>
      <c r="B79" s="2">
        <v>46198.443037974677</v>
      </c>
      <c r="C79" t="s">
        <v>168</v>
      </c>
      <c r="D79" t="s">
        <v>171</v>
      </c>
      <c r="E79" t="s">
        <v>177</v>
      </c>
      <c r="F79" t="s">
        <v>182</v>
      </c>
      <c r="G79">
        <v>2</v>
      </c>
      <c r="H79">
        <v>14045</v>
      </c>
      <c r="I79">
        <v>10</v>
      </c>
      <c r="J79" t="s">
        <v>184</v>
      </c>
      <c r="K79">
        <v>25281</v>
      </c>
      <c r="L79">
        <v>17100.240000000002</v>
      </c>
      <c r="M79">
        <v>8180.76</v>
      </c>
      <c r="N79" t="str">
        <f t="shared" si="3"/>
        <v>Jun</v>
      </c>
      <c r="O79">
        <f t="shared" si="4"/>
        <v>6</v>
      </c>
      <c r="P79" s="5">
        <f t="shared" si="5"/>
        <v>0.32359321229381749</v>
      </c>
    </row>
    <row r="80" spans="1:16" x14ac:dyDescent="0.25">
      <c r="A80" t="s">
        <v>91</v>
      </c>
      <c r="B80" s="2">
        <v>46200.721518987339</v>
      </c>
      <c r="C80" t="s">
        <v>169</v>
      </c>
      <c r="D80" t="s">
        <v>171</v>
      </c>
      <c r="E80" t="s">
        <v>177</v>
      </c>
      <c r="F80" t="s">
        <v>179</v>
      </c>
      <c r="G80">
        <v>2</v>
      </c>
      <c r="H80">
        <v>13975</v>
      </c>
      <c r="I80">
        <v>0</v>
      </c>
      <c r="J80" t="s">
        <v>185</v>
      </c>
      <c r="K80">
        <v>27950</v>
      </c>
      <c r="L80">
        <v>18320.89</v>
      </c>
      <c r="M80">
        <v>9629.11</v>
      </c>
      <c r="N80" t="str">
        <f t="shared" si="3"/>
        <v>Jun</v>
      </c>
      <c r="O80">
        <f t="shared" si="4"/>
        <v>6</v>
      </c>
      <c r="P80" s="5">
        <f t="shared" si="5"/>
        <v>0.34451198568872987</v>
      </c>
    </row>
    <row r="81" spans="1:16" x14ac:dyDescent="0.25">
      <c r="A81" t="s">
        <v>92</v>
      </c>
      <c r="B81" s="2">
        <v>46203</v>
      </c>
      <c r="C81" t="s">
        <v>170</v>
      </c>
      <c r="D81" t="s">
        <v>171</v>
      </c>
      <c r="E81" t="s">
        <v>177</v>
      </c>
      <c r="F81" t="s">
        <v>180</v>
      </c>
      <c r="G81">
        <v>2</v>
      </c>
      <c r="H81">
        <v>13838</v>
      </c>
      <c r="I81">
        <v>15</v>
      </c>
      <c r="J81" t="s">
        <v>184</v>
      </c>
      <c r="K81">
        <v>23524.6</v>
      </c>
      <c r="L81">
        <v>18116.830000000002</v>
      </c>
      <c r="M81">
        <v>5407.77</v>
      </c>
      <c r="N81" t="str">
        <f t="shared" si="3"/>
        <v>Jun</v>
      </c>
      <c r="O81">
        <f t="shared" si="4"/>
        <v>6</v>
      </c>
      <c r="P81" s="5">
        <f t="shared" si="5"/>
        <v>0.22987723489453596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Ofsys</dc:creator>
  <cp:lastModifiedBy>USER</cp:lastModifiedBy>
  <dcterms:created xsi:type="dcterms:W3CDTF">2026-09-18T00:21:58Z</dcterms:created>
  <dcterms:modified xsi:type="dcterms:W3CDTF">2026-09-23T03:40:14Z</dcterms:modified>
</cp:coreProperties>
</file>